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inal Year Project\Main Project\MATLAB Files\IEEE_9bus_new\Figures\"/>
    </mc:Choice>
  </mc:AlternateContent>
  <xr:revisionPtr revIDLastSave="0" documentId="13_ncr:1_{3D945B98-6422-4800-B3E6-758677D3F746}" xr6:coauthVersionLast="45" xr6:coauthVersionMax="45" xr10:uidLastSave="{00000000-0000-0000-0000-000000000000}"/>
  <bookViews>
    <workbookView xWindow="1116" yWindow="1116" windowWidth="17280" windowHeight="9420" xr2:uid="{5CC1A9C1-7D78-4BCC-BBE8-A765A14FE91D}"/>
  </bookViews>
  <sheets>
    <sheet name="Sheet1" sheetId="1" r:id="rId1"/>
  </sheets>
  <definedNames>
    <definedName name="_xlnm._FilterDatabase" localSheetId="0" hidden="1">Sheet1!$N$3:$N$69</definedName>
    <definedName name="_xlchart.v1.0" hidden="1">Sheet1!$AA$56</definedName>
    <definedName name="_xlchart.v1.1" hidden="1">Sheet1!$AA$57:$AA$62</definedName>
    <definedName name="_xlchart.v1.10" hidden="1">Sheet1!$U$56</definedName>
    <definedName name="_xlchart.v1.11" hidden="1">Sheet1!$U$57:$U$62</definedName>
    <definedName name="_xlchart.v1.12" hidden="1">Sheet1!$V$56</definedName>
    <definedName name="_xlchart.v1.13" hidden="1">Sheet1!$V$57:$V$62</definedName>
    <definedName name="_xlchart.v1.14" hidden="1">Sheet1!$W$56</definedName>
    <definedName name="_xlchart.v1.15" hidden="1">Sheet1!$W$57:$W$62</definedName>
    <definedName name="_xlchart.v1.16" hidden="1">Sheet1!$X$56</definedName>
    <definedName name="_xlchart.v1.17" hidden="1">Sheet1!$X$57:$X$62</definedName>
    <definedName name="_xlchart.v1.18" hidden="1">Sheet1!$Y$56</definedName>
    <definedName name="_xlchart.v1.19" hidden="1">Sheet1!$Y$57:$Y$62</definedName>
    <definedName name="_xlchart.v1.2" hidden="1">Sheet1!$AB$56</definedName>
    <definedName name="_xlchart.v1.20" hidden="1">Sheet1!$Z$56</definedName>
    <definedName name="_xlchart.v1.21" hidden="1">Sheet1!$Z$57:$Z$62</definedName>
    <definedName name="_xlchart.v1.22" hidden="1">Sheet1!$N$3</definedName>
    <definedName name="_xlchart.v1.23" hidden="1">Sheet1!$N$4:$N$69</definedName>
    <definedName name="_xlchart.v1.24" hidden="1">Sheet1!$L$17</definedName>
    <definedName name="_xlchart.v1.25" hidden="1">Sheet1!$L$18:$L$28</definedName>
    <definedName name="_xlchart.v1.26" hidden="1">Sheet1!$L$3</definedName>
    <definedName name="_xlchart.v1.27" hidden="1">Sheet1!$L$31</definedName>
    <definedName name="_xlchart.v1.28" hidden="1">Sheet1!$L$32:$L$42</definedName>
    <definedName name="_xlchart.v1.29" hidden="1">Sheet1!$L$45</definedName>
    <definedName name="_xlchart.v1.3" hidden="1">Sheet1!$AB$57:$AB$62</definedName>
    <definedName name="_xlchart.v1.30" hidden="1">Sheet1!$L$46:$L$56</definedName>
    <definedName name="_xlchart.v1.31" hidden="1">Sheet1!$L$4:$L$14</definedName>
    <definedName name="_xlchart.v1.32" hidden="1">Sheet1!$L$59</definedName>
    <definedName name="_xlchart.v1.33" hidden="1">Sheet1!$L$60:$L$70</definedName>
    <definedName name="_xlchart.v1.34" hidden="1">Sheet1!$L$73</definedName>
    <definedName name="_xlchart.v1.35" hidden="1">Sheet1!$L$74:$L$84</definedName>
    <definedName name="_xlchart.v1.36" hidden="1">Sheet1!$L$17</definedName>
    <definedName name="_xlchart.v1.37" hidden="1">Sheet1!$L$18:$L$28</definedName>
    <definedName name="_xlchart.v1.38" hidden="1">Sheet1!$L$3</definedName>
    <definedName name="_xlchart.v1.39" hidden="1">Sheet1!$L$31</definedName>
    <definedName name="_xlchart.v1.4" hidden="1">Sheet1!$R$56</definedName>
    <definedName name="_xlchart.v1.40" hidden="1">Sheet1!$L$32:$L$42</definedName>
    <definedName name="_xlchart.v1.41" hidden="1">Sheet1!$L$45</definedName>
    <definedName name="_xlchart.v1.42" hidden="1">Sheet1!$L$46:$L$56</definedName>
    <definedName name="_xlchart.v1.43" hidden="1">Sheet1!$L$4:$L$14</definedName>
    <definedName name="_xlchart.v1.44" hidden="1">Sheet1!$L$59</definedName>
    <definedName name="_xlchart.v1.45" hidden="1">Sheet1!$L$60:$L$70</definedName>
    <definedName name="_xlchart.v1.46" hidden="1">Sheet1!$L$73</definedName>
    <definedName name="_xlchart.v1.47" hidden="1">Sheet1!$L$74:$L$84</definedName>
    <definedName name="_xlchart.v1.5" hidden="1">Sheet1!$R$57:$R$62</definedName>
    <definedName name="_xlchart.v1.6" hidden="1">Sheet1!$S$56</definedName>
    <definedName name="_xlchart.v1.7" hidden="1">Sheet1!$S$57:$S$62</definedName>
    <definedName name="_xlchart.v1.8" hidden="1">Sheet1!$T$56</definedName>
    <definedName name="_xlchart.v1.9" hidden="1">Sheet1!$T$57:$T$62</definedName>
    <definedName name="_xlnm.Extract" localSheetId="0">Sheet1!$P$3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8" i="1" l="1"/>
  <c r="Q5" i="1" l="1"/>
  <c r="Q6" i="1"/>
  <c r="Q7" i="1"/>
  <c r="Q8" i="1"/>
  <c r="Q9" i="1"/>
  <c r="Q10" i="1"/>
  <c r="Q11" i="1"/>
  <c r="Q12" i="1"/>
  <c r="Q13" i="1"/>
  <c r="Q14" i="1"/>
  <c r="Q4" i="1"/>
  <c r="J4" i="1"/>
  <c r="J5" i="1"/>
  <c r="J6" i="1"/>
  <c r="J7" i="1"/>
  <c r="J8" i="1"/>
  <c r="J9" i="1"/>
  <c r="J10" i="1"/>
  <c r="J11" i="1"/>
  <c r="J12" i="1"/>
  <c r="J13" i="1"/>
  <c r="J14" i="1"/>
  <c r="J18" i="1"/>
  <c r="J19" i="1"/>
  <c r="J20" i="1"/>
  <c r="J21" i="1"/>
  <c r="J22" i="1"/>
  <c r="J23" i="1"/>
  <c r="J24" i="1"/>
  <c r="J25" i="1"/>
  <c r="J26" i="1"/>
  <c r="J27" i="1"/>
  <c r="J28" i="1"/>
  <c r="J32" i="1"/>
  <c r="J33" i="1"/>
  <c r="J34" i="1"/>
  <c r="J35" i="1"/>
  <c r="J36" i="1"/>
  <c r="J37" i="1"/>
  <c r="J38" i="1"/>
  <c r="J39" i="1"/>
  <c r="J40" i="1"/>
  <c r="J41" i="1"/>
  <c r="J42" i="1"/>
  <c r="J46" i="1"/>
  <c r="J47" i="1"/>
  <c r="J48" i="1"/>
  <c r="J49" i="1"/>
  <c r="J50" i="1"/>
  <c r="J51" i="1"/>
  <c r="J52" i="1"/>
  <c r="J53" i="1"/>
  <c r="J54" i="1"/>
  <c r="J55" i="1"/>
  <c r="J56" i="1"/>
  <c r="J60" i="1"/>
  <c r="J61" i="1"/>
  <c r="J62" i="1"/>
  <c r="J63" i="1"/>
  <c r="J64" i="1"/>
  <c r="J65" i="1"/>
  <c r="J66" i="1"/>
  <c r="J67" i="1"/>
  <c r="J68" i="1"/>
  <c r="J69" i="1"/>
  <c r="J70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I70" i="1"/>
  <c r="I69" i="1"/>
  <c r="I68" i="1"/>
  <c r="I67" i="1"/>
  <c r="I66" i="1"/>
  <c r="I65" i="1"/>
  <c r="I64" i="1"/>
  <c r="I63" i="1"/>
  <c r="I62" i="1"/>
  <c r="I61" i="1"/>
  <c r="I60" i="1"/>
  <c r="I56" i="1"/>
  <c r="I55" i="1"/>
  <c r="I54" i="1"/>
  <c r="I53" i="1"/>
  <c r="I52" i="1"/>
  <c r="I51" i="1"/>
  <c r="I50" i="1"/>
  <c r="I49" i="1"/>
  <c r="I48" i="1"/>
  <c r="I47" i="1"/>
  <c r="I46" i="1"/>
  <c r="I42" i="1"/>
  <c r="I41" i="1"/>
  <c r="I40" i="1"/>
  <c r="I39" i="1"/>
  <c r="I38" i="1"/>
  <c r="I37" i="1"/>
  <c r="I36" i="1"/>
  <c r="I35" i="1"/>
  <c r="I34" i="1"/>
  <c r="I33" i="1"/>
  <c r="I32" i="1"/>
  <c r="I28" i="1"/>
  <c r="I27" i="1"/>
  <c r="I26" i="1"/>
  <c r="I25" i="1"/>
  <c r="I24" i="1"/>
  <c r="I23" i="1"/>
  <c r="I22" i="1"/>
  <c r="I21" i="1"/>
  <c r="I20" i="1"/>
  <c r="I19" i="1"/>
  <c r="I18" i="1"/>
  <c r="I5" i="1"/>
  <c r="I6" i="1"/>
  <c r="I7" i="1"/>
  <c r="I8" i="1"/>
  <c r="I9" i="1"/>
  <c r="I10" i="1"/>
  <c r="I11" i="1"/>
  <c r="I12" i="1"/>
  <c r="I13" i="1"/>
  <c r="I14" i="1"/>
  <c r="E84" i="1"/>
  <c r="K84" i="1" s="1"/>
  <c r="E83" i="1"/>
  <c r="K83" i="1" s="1"/>
  <c r="E82" i="1"/>
  <c r="K82" i="1" s="1"/>
  <c r="E81" i="1"/>
  <c r="K81" i="1" s="1"/>
  <c r="E80" i="1"/>
  <c r="K80" i="1" s="1"/>
  <c r="E79" i="1"/>
  <c r="K79" i="1" s="1"/>
  <c r="E78" i="1"/>
  <c r="K78" i="1" s="1"/>
  <c r="E77" i="1"/>
  <c r="K77" i="1" s="1"/>
  <c r="E76" i="1"/>
  <c r="K76" i="1" s="1"/>
  <c r="E75" i="1"/>
  <c r="K75" i="1" s="1"/>
  <c r="E74" i="1"/>
  <c r="K74" i="1" s="1"/>
  <c r="E70" i="1"/>
  <c r="K70" i="1" s="1"/>
  <c r="E69" i="1"/>
  <c r="K69" i="1" s="1"/>
  <c r="E68" i="1"/>
  <c r="K68" i="1" s="1"/>
  <c r="E67" i="1"/>
  <c r="K67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56" i="1"/>
  <c r="K56" i="1" s="1"/>
  <c r="E55" i="1"/>
  <c r="K55" i="1" s="1"/>
  <c r="E54" i="1"/>
  <c r="K54" i="1" s="1"/>
  <c r="E53" i="1"/>
  <c r="K53" i="1" s="1"/>
  <c r="E52" i="1"/>
  <c r="K52" i="1" s="1"/>
  <c r="E51" i="1"/>
  <c r="K51" i="1" s="1"/>
  <c r="E50" i="1"/>
  <c r="K50" i="1" s="1"/>
  <c r="E49" i="1"/>
  <c r="K49" i="1" s="1"/>
  <c r="E48" i="1"/>
  <c r="K48" i="1" s="1"/>
  <c r="E47" i="1"/>
  <c r="K47" i="1" s="1"/>
  <c r="E46" i="1"/>
  <c r="K46" i="1" s="1"/>
  <c r="E42" i="1"/>
  <c r="K42" i="1" s="1"/>
  <c r="E41" i="1"/>
  <c r="K41" i="1" s="1"/>
  <c r="E40" i="1"/>
  <c r="K40" i="1" s="1"/>
  <c r="E39" i="1"/>
  <c r="K39" i="1" s="1"/>
  <c r="E38" i="1"/>
  <c r="K38" i="1" s="1"/>
  <c r="E37" i="1"/>
  <c r="K37" i="1" s="1"/>
  <c r="E36" i="1"/>
  <c r="K36" i="1" s="1"/>
  <c r="E35" i="1"/>
  <c r="K35" i="1" s="1"/>
  <c r="E34" i="1"/>
  <c r="K34" i="1" s="1"/>
  <c r="E33" i="1"/>
  <c r="K33" i="1" s="1"/>
  <c r="E32" i="1"/>
  <c r="K32" i="1" s="1"/>
  <c r="E28" i="1"/>
  <c r="K28" i="1" s="1"/>
  <c r="E27" i="1"/>
  <c r="K27" i="1" s="1"/>
  <c r="E26" i="1"/>
  <c r="K26" i="1" s="1"/>
  <c r="E25" i="1"/>
  <c r="K25" i="1" s="1"/>
  <c r="E24" i="1"/>
  <c r="K24" i="1" s="1"/>
  <c r="E23" i="1"/>
  <c r="K23" i="1" s="1"/>
  <c r="E22" i="1"/>
  <c r="K22" i="1" s="1"/>
  <c r="E21" i="1"/>
  <c r="K21" i="1" s="1"/>
  <c r="E20" i="1"/>
  <c r="K20" i="1" s="1"/>
  <c r="E19" i="1"/>
  <c r="K19" i="1" s="1"/>
  <c r="E18" i="1"/>
  <c r="K18" i="1" s="1"/>
  <c r="E5" i="1"/>
  <c r="K5" i="1" s="1"/>
  <c r="E6" i="1"/>
  <c r="K6" i="1" s="1"/>
  <c r="E7" i="1"/>
  <c r="K7" i="1" s="1"/>
  <c r="E8" i="1"/>
  <c r="K8" i="1" s="1"/>
  <c r="E9" i="1"/>
  <c r="K9" i="1" s="1"/>
  <c r="E10" i="1"/>
  <c r="K10" i="1" s="1"/>
  <c r="E11" i="1"/>
  <c r="K11" i="1" s="1"/>
  <c r="E12" i="1"/>
  <c r="K12" i="1" s="1"/>
  <c r="E13" i="1"/>
  <c r="K13" i="1" s="1"/>
  <c r="E14" i="1"/>
  <c r="K14" i="1" s="1"/>
  <c r="E4" i="1"/>
  <c r="K4" i="1" s="1"/>
  <c r="Q33" i="1" s="1"/>
  <c r="I4" i="1"/>
  <c r="Q37" i="1" l="1"/>
  <c r="Q36" i="1"/>
  <c r="Q34" i="1"/>
  <c r="Q38" i="1"/>
  <c r="Q35" i="1"/>
</calcChain>
</file>

<file path=xl/sharedStrings.xml><?xml version="1.0" encoding="utf-8"?>
<sst xmlns="http://schemas.openxmlformats.org/spreadsheetml/2006/main" count="227" uniqueCount="24">
  <si>
    <t>AG</t>
  </si>
  <si>
    <t>BG</t>
  </si>
  <si>
    <t>CG</t>
  </si>
  <si>
    <t>AB</t>
  </si>
  <si>
    <t>AC</t>
  </si>
  <si>
    <t>BC</t>
  </si>
  <si>
    <t>ABG</t>
  </si>
  <si>
    <t>ACG</t>
  </si>
  <si>
    <t>BCG</t>
  </si>
  <si>
    <t>ABC</t>
  </si>
  <si>
    <t>ABCG</t>
  </si>
  <si>
    <t>Fault Type</t>
  </si>
  <si>
    <t>Time</t>
  </si>
  <si>
    <t>Detection</t>
  </si>
  <si>
    <t>Line 7-8</t>
  </si>
  <si>
    <t>Line 8-9</t>
  </si>
  <si>
    <t>Line 9-6</t>
  </si>
  <si>
    <t>Line 6-4</t>
  </si>
  <si>
    <t>Line 4-5</t>
  </si>
  <si>
    <t>Line 5-7</t>
  </si>
  <si>
    <t>Sensitivity</t>
  </si>
  <si>
    <t>Count</t>
  </si>
  <si>
    <t>Line</t>
  </si>
  <si>
    <t>Mean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</si>
</sst>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Count of Detection</a:t>
            </a:r>
            <a:r>
              <a:rPr lang="en-US" baseline="0">
                <a:solidFill>
                  <a:sysClr val="windowText" lastClr="000000"/>
                </a:solidFill>
              </a:rPr>
              <a:t> Times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Sheet1!$P$4:$P$14</c:f>
              <c:numCache>
                <c:formatCode>0.00</c:formatCode>
                <c:ptCount val="11"/>
                <c:pt idx="0">
                  <c:v>0.66669999999999996</c:v>
                </c:pt>
                <c:pt idx="1">
                  <c:v>0.83330000000000004</c:v>
                </c:pt>
                <c:pt idx="2">
                  <c:v>1</c:v>
                </c:pt>
                <c:pt idx="3">
                  <c:v>1.1666999999999998</c:v>
                </c:pt>
                <c:pt idx="4">
                  <c:v>1.3332999999999999</c:v>
                </c:pt>
                <c:pt idx="5">
                  <c:v>1.5</c:v>
                </c:pt>
                <c:pt idx="6">
                  <c:v>1.6666999999999998</c:v>
                </c:pt>
                <c:pt idx="7">
                  <c:v>3</c:v>
                </c:pt>
                <c:pt idx="8">
                  <c:v>3.1667000000000001</c:v>
                </c:pt>
                <c:pt idx="9">
                  <c:v>3.3332999999999999</c:v>
                </c:pt>
                <c:pt idx="10">
                  <c:v>3.5</c:v>
                </c:pt>
              </c:numCache>
            </c:numRef>
          </c:cat>
          <c:val>
            <c:numRef>
              <c:f>Sheet1!$Q$4:$Q$14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8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4-4A2F-A4CB-1CC1E902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49168"/>
        <c:axId val="2105997904"/>
      </c:barChart>
      <c:catAx>
        <c:axId val="3754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Detection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Time (Milliseconds)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97904"/>
        <c:crosses val="autoZero"/>
        <c:auto val="1"/>
        <c:lblAlgn val="ctr"/>
        <c:lblOffset val="100"/>
        <c:noMultiLvlLbl val="0"/>
      </c:catAx>
      <c:valAx>
        <c:axId val="21059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Distribution of Detection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Distribution of Detection Time</a:t>
          </a:r>
        </a:p>
      </cx:txPr>
    </cx:title>
    <cx:plotArea>
      <cx:plotAreaRegion>
        <cx:series layoutId="boxWhisker" uniqueId="{BF2C0346-3FC9-4AE3-900C-E6B7CED42ED3}">
          <cx:tx>
            <cx:txData>
              <cx:f>_xlchart.v1.22</cx:f>
              <cx:v>Sensitivity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Detection Time (Milliseconds)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en-US" sz="9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Detection Time (Milliseconds)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_xlchart.v1.25</cx:f>
      </cx:numDim>
    </cx:data>
    <cx:data id="2">
      <cx:numDim type="val">
        <cx:f>_xlchart.v1.28</cx:f>
      </cx:numDim>
    </cx:data>
    <cx:data id="3">
      <cx:numDim type="val">
        <cx:f>_xlchart.v1.30</cx:f>
      </cx:numDim>
    </cx:data>
    <cx:data id="4">
      <cx:numDim type="val">
        <cx:f>_xlchart.v1.33</cx:f>
      </cx:numDim>
    </cx:data>
    <cx:data id="5">
      <cx:numDim type="val">
        <cx:f>_xlchart.v1.35</cx:f>
      </cx:numDim>
    </cx:data>
  </cx:chartData>
  <cx:chart>
    <cx:title pos="t" align="ctr" overlay="0">
      <cx:tx>
        <cx:txData>
          <cx:v>Detection Time Distribution by Line of Fault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Detection Time Distribution by Line of Fault</a:t>
          </a:r>
        </a:p>
      </cx:txPr>
    </cx:title>
    <cx:plotArea>
      <cx:plotAreaRegion>
        <cx:series layoutId="boxWhisker" uniqueId="{0000000F-7DAF-4188-96C7-160CB6AC8826}">
          <cx:tx>
            <cx:txData>
              <cx:f>_xlchart.v1.26</cx:f>
              <cx:v>Line 7-8</cx:v>
            </cx:txData>
          </cx:tx>
          <cx:dataId val="0"/>
          <cx:layoutPr>
            <cx:statistics quartileMethod="exclusive"/>
          </cx:layoutPr>
        </cx:series>
        <cx:series layoutId="boxWhisker" uniqueId="{00000010-7DAF-4188-96C7-160CB6AC8826}">
          <cx:tx>
            <cx:txData>
              <cx:f>_xlchart.v1.24</cx:f>
              <cx:v>Line 8-9</cx:v>
            </cx:txData>
          </cx:tx>
          <cx:dataId val="1"/>
          <cx:layoutPr>
            <cx:statistics quartileMethod="exclusive"/>
          </cx:layoutPr>
        </cx:series>
        <cx:series layoutId="boxWhisker" uniqueId="{00000011-7DAF-4188-96C7-160CB6AC8826}">
          <cx:tx>
            <cx:txData>
              <cx:f>_xlchart.v1.27</cx:f>
              <cx:v>Line 9-6</cx:v>
            </cx:txData>
          </cx:tx>
          <cx:dataId val="2"/>
          <cx:layoutPr>
            <cx:statistics quartileMethod="exclusive"/>
          </cx:layoutPr>
        </cx:series>
        <cx:series layoutId="boxWhisker" uniqueId="{00000012-7DAF-4188-96C7-160CB6AC8826}">
          <cx:tx>
            <cx:txData>
              <cx:f>_xlchart.v1.29</cx:f>
              <cx:v>Line 6-4</cx:v>
            </cx:txData>
          </cx:tx>
          <cx:dataId val="3"/>
          <cx:layoutPr>
            <cx:statistics quartileMethod="exclusive"/>
          </cx:layoutPr>
        </cx:series>
        <cx:series layoutId="boxWhisker" uniqueId="{00000013-7DAF-4188-96C7-160CB6AC8826}">
          <cx:tx>
            <cx:txData>
              <cx:f>_xlchart.v1.32</cx:f>
              <cx:v>Line 4-5</cx:v>
            </cx:txData>
          </cx:tx>
          <cx:dataId val="4"/>
          <cx:layoutPr>
            <cx:statistics quartileMethod="exclusive"/>
          </cx:layoutPr>
        </cx:series>
        <cx:series layoutId="boxWhisker" uniqueId="{00000014-7DAF-4188-96C7-160CB6AC8826}">
          <cx:tx>
            <cx:txData>
              <cx:f>_xlchart.v1.34</cx:f>
              <cx:v>Line 5-7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Detction Time Distribution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en-US" sz="9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Detction Time Distribution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  <cx:data id="5">
      <cx:numDim type="val">
        <cx:f>_xlchart.v1.15</cx:f>
      </cx:numDim>
    </cx:data>
    <cx:data id="6">
      <cx:numDim type="val">
        <cx:f>_xlchart.v1.17</cx:f>
      </cx:numDim>
    </cx:data>
    <cx:data id="7">
      <cx:numDim type="val">
        <cx:f>_xlchart.v1.19</cx:f>
      </cx:numDim>
    </cx:data>
    <cx:data id="8">
      <cx:numDim type="val">
        <cx:f>_xlchart.v1.21</cx:f>
      </cx:numDim>
    </cx:data>
    <cx:data id="9">
      <cx:numDim type="val">
        <cx:f>_xlchart.v1.1</cx:f>
      </cx:numDim>
    </cx:data>
    <cx:data id="10">
      <cx:numDim type="val">
        <cx:f>_xlchart.v1.3</cx:f>
      </cx:numDim>
    </cx:data>
  </cx:chartData>
  <cx:chart>
    <cx:title pos="t" align="ctr" overlay="0">
      <cx:tx>
        <cx:txData>
          <cx:v>Detection Time Distribution by Type of Fault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Detection Time Distribution by Type of Fault</a:t>
          </a:r>
        </a:p>
      </cx:txPr>
    </cx:title>
    <cx:plotArea>
      <cx:plotAreaRegion>
        <cx:series layoutId="boxWhisker" uniqueId="{00000000-21C8-4597-8AB7-6A41075F1682}" formatIdx="0">
          <cx:tx>
            <cx:txData>
              <cx:f>_xlchart.v1.4</cx:f>
              <cx:v>AG</cx:v>
            </cx:txData>
          </cx:tx>
          <cx:dataId val="0"/>
          <cx:layoutPr>
            <cx:statistics quartileMethod="exclusive"/>
          </cx:layoutPr>
        </cx:series>
        <cx:series layoutId="boxWhisker" uniqueId="{00000001-21C8-4597-8AB7-6A41075F1682}" formatIdx="1">
          <cx:tx>
            <cx:txData>
              <cx:f>_xlchart.v1.6</cx:f>
              <cx:v>BG</cx:v>
            </cx:txData>
          </cx:tx>
          <cx:dataId val="1"/>
          <cx:layoutPr>
            <cx:statistics quartileMethod="exclusive"/>
          </cx:layoutPr>
        </cx:series>
        <cx:series layoutId="boxWhisker" uniqueId="{00000002-21C8-4597-8AB7-6A41075F1682}" formatIdx="2">
          <cx:tx>
            <cx:txData>
              <cx:f>_xlchart.v1.8</cx:f>
              <cx:v>CG</cx:v>
            </cx:txData>
          </cx:tx>
          <cx:dataId val="2"/>
          <cx:layoutPr>
            <cx:statistics quartileMethod="exclusive"/>
          </cx:layoutPr>
        </cx:series>
        <cx:series layoutId="boxWhisker" uniqueId="{00000003-21C8-4597-8AB7-6A41075F1682}" formatIdx="3">
          <cx:tx>
            <cx:txData>
              <cx:f>_xlchart.v1.10</cx:f>
              <cx:v>AB</cx:v>
            </cx:txData>
          </cx:tx>
          <cx:dataId val="3"/>
          <cx:layoutPr>
            <cx:statistics quartileMethod="exclusive"/>
          </cx:layoutPr>
        </cx:series>
        <cx:series layoutId="boxWhisker" uniqueId="{00000004-21C8-4597-8AB7-6A41075F1682}" formatIdx="4">
          <cx:tx>
            <cx:txData>
              <cx:f>_xlchart.v1.12</cx:f>
              <cx:v>AC</cx:v>
            </cx:txData>
          </cx:tx>
          <cx:dataId val="4"/>
          <cx:layoutPr>
            <cx:statistics quartileMethod="exclusive"/>
          </cx:layoutPr>
        </cx:series>
        <cx:series layoutId="boxWhisker" uniqueId="{00000005-21C8-4597-8AB7-6A41075F1682}" formatIdx="5">
          <cx:tx>
            <cx:txData>
              <cx:f>_xlchart.v1.14</cx:f>
              <cx:v>BC</cx:v>
            </cx:txData>
          </cx:tx>
          <cx:dataId val="5"/>
          <cx:layoutPr>
            <cx:statistics quartileMethod="exclusive"/>
          </cx:layoutPr>
        </cx:series>
        <cx:series layoutId="boxWhisker" uniqueId="{00000007-21C8-4597-8AB7-6A41075F1682}">
          <cx:tx>
            <cx:txData>
              <cx:f>_xlchart.v1.16</cx:f>
              <cx:v>ABG</cx:v>
            </cx:txData>
          </cx:tx>
          <cx:dataId val="6"/>
          <cx:layoutPr>
            <cx:statistics quartileMethod="exclusive"/>
          </cx:layoutPr>
        </cx:series>
        <cx:series layoutId="boxWhisker" uniqueId="{00000008-21C8-4597-8AB7-6A41075F1682}">
          <cx:tx>
            <cx:txData>
              <cx:f>_xlchart.v1.18</cx:f>
              <cx:v>ACG</cx:v>
            </cx:txData>
          </cx:tx>
          <cx:dataId val="7"/>
          <cx:layoutPr>
            <cx:statistics quartileMethod="exclusive"/>
          </cx:layoutPr>
        </cx:series>
        <cx:series layoutId="boxWhisker" uniqueId="{00000009-21C8-4597-8AB7-6A41075F1682}">
          <cx:tx>
            <cx:txData>
              <cx:f>_xlchart.v1.20</cx:f>
              <cx:v>BCG</cx:v>
            </cx:txData>
          </cx:tx>
          <cx:dataId val="8"/>
          <cx:layoutPr>
            <cx:statistics quartileMethod="exclusive"/>
          </cx:layoutPr>
        </cx:series>
        <cx:series layoutId="boxWhisker" uniqueId="{0000000A-21C8-4597-8AB7-6A41075F1682}">
          <cx:tx>
            <cx:txData>
              <cx:f>_xlchart.v1.0</cx:f>
              <cx:v>ABC</cx:v>
            </cx:txData>
          </cx:tx>
          <cx:dataId val="9"/>
          <cx:layoutPr>
            <cx:statistics quartileMethod="exclusive"/>
          </cx:layoutPr>
        </cx:series>
        <cx:series layoutId="boxWhisker" uniqueId="{0000000B-21C8-4597-8AB7-6A41075F1682}">
          <cx:tx>
            <cx:txData>
              <cx:f>_xlchart.v1.2</cx:f>
              <cx:v>ABCG</cx:v>
            </cx:txData>
          </cx:tx>
          <cx:dataId val="1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Detection Time Distribution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en-US" sz="9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Detection Time Distribution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236220</xdr:colOff>
      <xdr:row>1</xdr:row>
      <xdr:rowOff>171450</xdr:rowOff>
    </xdr:from>
    <xdr:to>
      <xdr:col>26</xdr:col>
      <xdr:colOff>541020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6C5B9-3877-4AA9-90F3-DA1EF6479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251460</xdr:colOff>
      <xdr:row>16</xdr:row>
      <xdr:rowOff>41910</xdr:rowOff>
    </xdr:from>
    <xdr:to>
      <xdr:col>21</xdr:col>
      <xdr:colOff>83820</xdr:colOff>
      <xdr:row>30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B1DF76D-821A-4225-88D6-CD8F9F423B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9860" y="3211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243840</xdr:colOff>
      <xdr:row>16</xdr:row>
      <xdr:rowOff>48805</xdr:rowOff>
    </xdr:from>
    <xdr:to>
      <xdr:col>29</xdr:col>
      <xdr:colOff>548640</xdr:colOff>
      <xdr:row>30</xdr:row>
      <xdr:rowOff>18325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528515E-2C1F-48C2-8EC1-07FCF018FE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8011" y="3183891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22860</xdr:colOff>
      <xdr:row>39</xdr:row>
      <xdr:rowOff>173061</xdr:rowOff>
    </xdr:from>
    <xdr:to>
      <xdr:col>23</xdr:col>
      <xdr:colOff>480060</xdr:colOff>
      <xdr:row>54</xdr:row>
      <xdr:rowOff>38381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3628F57-8BF5-4FD9-9C6A-34789A84A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1947" y="7951598"/>
              <a:ext cx="5090569" cy="2857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DA26-3621-46BE-A63C-EB20BE8B736C}">
  <dimension ref="B2:AB84"/>
  <sheetViews>
    <sheetView tabSelected="1" topLeftCell="O11" zoomScale="70" zoomScaleNormal="70" workbookViewId="0">
      <selection activeCell="T37" sqref="T37"/>
    </sheetView>
  </sheetViews>
  <sheetFormatPr defaultRowHeight="15.6" x14ac:dyDescent="0.3"/>
  <cols>
    <col min="2" max="2" width="10.44140625" bestFit="1" customWidth="1"/>
    <col min="3" max="3" width="12" bestFit="1" customWidth="1"/>
    <col min="4" max="4" width="9.44140625" bestFit="1" customWidth="1"/>
    <col min="5" max="5" width="10.33203125" style="2" bestFit="1" customWidth="1"/>
    <col min="6" max="6" width="11" bestFit="1" customWidth="1"/>
    <col min="8" max="8" width="10.44140625" bestFit="1" customWidth="1"/>
    <col min="9" max="9" width="12" bestFit="1" customWidth="1"/>
    <col min="10" max="10" width="13.33203125" bestFit="1" customWidth="1"/>
    <col min="11" max="12" width="10.33203125" bestFit="1" customWidth="1"/>
    <col min="14" max="14" width="10.33203125" bestFit="1" customWidth="1"/>
    <col min="16" max="16" width="10.33203125" bestFit="1" customWidth="1"/>
    <col min="17" max="17" width="14.33203125" bestFit="1" customWidth="1"/>
  </cols>
  <sheetData>
    <row r="2" spans="2:17" x14ac:dyDescent="0.3">
      <c r="B2" s="12" t="s">
        <v>14</v>
      </c>
      <c r="C2" s="12"/>
      <c r="D2" s="12"/>
      <c r="E2" s="12"/>
      <c r="F2" s="12"/>
      <c r="H2" s="15" t="s">
        <v>14</v>
      </c>
      <c r="I2" s="15"/>
      <c r="J2" s="15"/>
      <c r="K2" s="2"/>
    </row>
    <row r="3" spans="2:17" x14ac:dyDescent="0.3">
      <c r="B3" s="3" t="s">
        <v>11</v>
      </c>
      <c r="C3" s="3" t="s">
        <v>12</v>
      </c>
      <c r="D3" s="3" t="s">
        <v>13</v>
      </c>
      <c r="E3" s="7" t="s">
        <v>20</v>
      </c>
      <c r="F3" s="7" t="s">
        <v>14</v>
      </c>
      <c r="H3" s="3"/>
      <c r="I3" s="3" t="s">
        <v>12</v>
      </c>
      <c r="J3" s="3" t="s">
        <v>13</v>
      </c>
      <c r="K3" s="7" t="s">
        <v>20</v>
      </c>
      <c r="L3" s="7" t="s">
        <v>14</v>
      </c>
      <c r="N3" s="7" t="s">
        <v>20</v>
      </c>
      <c r="P3" s="7" t="s">
        <v>20</v>
      </c>
      <c r="Q3" s="11" t="s">
        <v>21</v>
      </c>
    </row>
    <row r="4" spans="2:17" x14ac:dyDescent="0.3">
      <c r="B4" s="4" t="s">
        <v>0</v>
      </c>
      <c r="C4" s="5">
        <v>6.6666666666666693E-2</v>
      </c>
      <c r="D4" s="6">
        <v>6.9833332999999997E-2</v>
      </c>
      <c r="E4" s="6">
        <f>ROUND(D4-C4, 7)</f>
        <v>3.1667000000000002E-3</v>
      </c>
      <c r="F4" s="6">
        <v>3.1667000000000002E-3</v>
      </c>
      <c r="H4" s="4" t="s">
        <v>0</v>
      </c>
      <c r="I4" s="9">
        <f>C4*1000</f>
        <v>66.6666666666667</v>
      </c>
      <c r="J4" s="9">
        <f t="shared" ref="J4:K14" si="0">D4*1000</f>
        <v>69.833332999999996</v>
      </c>
      <c r="K4" s="10">
        <f t="shared" si="0"/>
        <v>3.1667000000000001</v>
      </c>
      <c r="L4" s="10">
        <v>3.1667000000000001</v>
      </c>
      <c r="N4" s="10">
        <v>3.1667000000000001</v>
      </c>
      <c r="P4" s="10">
        <v>0.66669999999999996</v>
      </c>
      <c r="Q4" s="5">
        <f>COUNTIF($N$4:$N$69,P4)</f>
        <v>20</v>
      </c>
    </row>
    <row r="5" spans="2:17" x14ac:dyDescent="0.3">
      <c r="B5" s="4" t="s">
        <v>1</v>
      </c>
      <c r="C5" s="5">
        <v>6.6666666666666693E-2</v>
      </c>
      <c r="D5" s="6">
        <v>6.7500000000000004E-2</v>
      </c>
      <c r="E5" s="6">
        <f t="shared" ref="E5:E14" si="1">ROUND(D5-C5, 7)</f>
        <v>8.3330000000000003E-4</v>
      </c>
      <c r="F5" s="6">
        <v>8.3330000000000003E-4</v>
      </c>
      <c r="H5" s="4" t="s">
        <v>1</v>
      </c>
      <c r="I5" s="9">
        <f t="shared" ref="I5:I14" si="2">C5*1000</f>
        <v>66.6666666666667</v>
      </c>
      <c r="J5" s="9">
        <f t="shared" ref="J5:J14" si="3">D5*1000</f>
        <v>67.5</v>
      </c>
      <c r="K5" s="10">
        <f t="shared" si="0"/>
        <v>0.83330000000000004</v>
      </c>
      <c r="L5" s="10">
        <v>0.83330000000000004</v>
      </c>
      <c r="N5" s="10">
        <v>0.83330000000000004</v>
      </c>
      <c r="P5" s="10">
        <v>0.83330000000000004</v>
      </c>
      <c r="Q5" s="5">
        <f t="shared" ref="Q5:Q14" si="4">COUNTIF($N$4:$N$69,P5)</f>
        <v>24</v>
      </c>
    </row>
    <row r="6" spans="2:17" x14ac:dyDescent="0.3">
      <c r="B6" s="4" t="s">
        <v>2</v>
      </c>
      <c r="C6" s="5">
        <v>6.6666666666666693E-2</v>
      </c>
      <c r="D6" s="6">
        <v>6.7333332999999995E-2</v>
      </c>
      <c r="E6" s="6">
        <f t="shared" si="1"/>
        <v>6.667E-4</v>
      </c>
      <c r="F6" s="6">
        <v>6.667E-4</v>
      </c>
      <c r="H6" s="4" t="s">
        <v>2</v>
      </c>
      <c r="I6" s="9">
        <f t="shared" si="2"/>
        <v>66.6666666666667</v>
      </c>
      <c r="J6" s="9">
        <f t="shared" si="3"/>
        <v>67.333332999999996</v>
      </c>
      <c r="K6" s="10">
        <f t="shared" si="0"/>
        <v>0.66669999999999996</v>
      </c>
      <c r="L6" s="10">
        <v>0.66669999999999996</v>
      </c>
      <c r="N6" s="10">
        <v>0.66669999999999996</v>
      </c>
      <c r="P6" s="10">
        <v>1</v>
      </c>
      <c r="Q6" s="5">
        <f t="shared" si="4"/>
        <v>8</v>
      </c>
    </row>
    <row r="7" spans="2:17" x14ac:dyDescent="0.3">
      <c r="B7" s="4" t="s">
        <v>3</v>
      </c>
      <c r="C7" s="5">
        <v>6.6666666666666693E-2</v>
      </c>
      <c r="D7" s="6">
        <v>6.8000000000000005E-2</v>
      </c>
      <c r="E7" s="6">
        <f t="shared" si="1"/>
        <v>1.3332999999999999E-3</v>
      </c>
      <c r="F7" s="6">
        <v>1.3332999999999999E-3</v>
      </c>
      <c r="H7" s="4" t="s">
        <v>3</v>
      </c>
      <c r="I7" s="9">
        <f t="shared" si="2"/>
        <v>66.6666666666667</v>
      </c>
      <c r="J7" s="9">
        <f t="shared" si="3"/>
        <v>68</v>
      </c>
      <c r="K7" s="10">
        <f t="shared" si="0"/>
        <v>1.3332999999999999</v>
      </c>
      <c r="L7" s="10">
        <v>1.3332999999999999</v>
      </c>
      <c r="N7" s="10">
        <v>1.3332999999999999</v>
      </c>
      <c r="P7" s="10">
        <v>1.1666999999999998</v>
      </c>
      <c r="Q7" s="5">
        <f t="shared" si="4"/>
        <v>2</v>
      </c>
    </row>
    <row r="8" spans="2:17" x14ac:dyDescent="0.3">
      <c r="B8" s="4" t="s">
        <v>4</v>
      </c>
      <c r="C8" s="5">
        <v>6.6666666666666693E-2</v>
      </c>
      <c r="D8" s="6">
        <v>6.7500000000000004E-2</v>
      </c>
      <c r="E8" s="6">
        <f t="shared" si="1"/>
        <v>8.3330000000000003E-4</v>
      </c>
      <c r="F8" s="6">
        <v>8.3330000000000003E-4</v>
      </c>
      <c r="H8" s="4" t="s">
        <v>4</v>
      </c>
      <c r="I8" s="9">
        <f t="shared" si="2"/>
        <v>66.6666666666667</v>
      </c>
      <c r="J8" s="9">
        <f t="shared" si="3"/>
        <v>67.5</v>
      </c>
      <c r="K8" s="10">
        <f t="shared" si="0"/>
        <v>0.83330000000000004</v>
      </c>
      <c r="L8" s="10">
        <v>0.83330000000000004</v>
      </c>
      <c r="N8" s="10">
        <v>0.83330000000000004</v>
      </c>
      <c r="P8" s="10">
        <v>1.3332999999999999</v>
      </c>
      <c r="Q8" s="5">
        <f t="shared" si="4"/>
        <v>3</v>
      </c>
    </row>
    <row r="9" spans="2:17" x14ac:dyDescent="0.3">
      <c r="B9" s="4" t="s">
        <v>5</v>
      </c>
      <c r="C9" s="5">
        <v>6.6666666666666693E-2</v>
      </c>
      <c r="D9" s="6">
        <v>6.7333332999999995E-2</v>
      </c>
      <c r="E9" s="6">
        <f t="shared" si="1"/>
        <v>6.667E-4</v>
      </c>
      <c r="F9" s="6">
        <v>6.667E-4</v>
      </c>
      <c r="H9" s="4" t="s">
        <v>5</v>
      </c>
      <c r="I9" s="9">
        <f t="shared" si="2"/>
        <v>66.6666666666667</v>
      </c>
      <c r="J9" s="9">
        <f t="shared" si="3"/>
        <v>67.333332999999996</v>
      </c>
      <c r="K9" s="10">
        <f t="shared" si="0"/>
        <v>0.66669999999999996</v>
      </c>
      <c r="L9" s="10">
        <v>0.66669999999999996</v>
      </c>
      <c r="N9" s="10">
        <v>0.66669999999999996</v>
      </c>
      <c r="P9" s="10">
        <v>1.5</v>
      </c>
      <c r="Q9" s="5">
        <f t="shared" si="4"/>
        <v>2</v>
      </c>
    </row>
    <row r="10" spans="2:17" x14ac:dyDescent="0.3">
      <c r="B10" s="4" t="s">
        <v>6</v>
      </c>
      <c r="C10" s="5">
        <v>6.6666666666666693E-2</v>
      </c>
      <c r="D10" s="6">
        <v>6.7500000000000004E-2</v>
      </c>
      <c r="E10" s="6">
        <f t="shared" si="1"/>
        <v>8.3330000000000003E-4</v>
      </c>
      <c r="F10" s="6">
        <v>8.3330000000000003E-4</v>
      </c>
      <c r="H10" s="4" t="s">
        <v>6</v>
      </c>
      <c r="I10" s="9">
        <f t="shared" si="2"/>
        <v>66.6666666666667</v>
      </c>
      <c r="J10" s="9">
        <f t="shared" si="3"/>
        <v>67.5</v>
      </c>
      <c r="K10" s="10">
        <f t="shared" si="0"/>
        <v>0.83330000000000004</v>
      </c>
      <c r="L10" s="10">
        <v>0.83330000000000004</v>
      </c>
      <c r="N10" s="10">
        <v>0.83330000000000004</v>
      </c>
      <c r="P10" s="10">
        <v>1.6666999999999998</v>
      </c>
      <c r="Q10" s="5">
        <f t="shared" si="4"/>
        <v>1</v>
      </c>
    </row>
    <row r="11" spans="2:17" x14ac:dyDescent="0.3">
      <c r="B11" s="4" t="s">
        <v>7</v>
      </c>
      <c r="C11" s="5">
        <v>6.6666666666666693E-2</v>
      </c>
      <c r="D11" s="6">
        <v>6.7333332999999995E-2</v>
      </c>
      <c r="E11" s="6">
        <f t="shared" si="1"/>
        <v>6.667E-4</v>
      </c>
      <c r="F11" s="6">
        <v>6.667E-4</v>
      </c>
      <c r="H11" s="4" t="s">
        <v>7</v>
      </c>
      <c r="I11" s="9">
        <f t="shared" si="2"/>
        <v>66.6666666666667</v>
      </c>
      <c r="J11" s="9">
        <f t="shared" si="3"/>
        <v>67.333332999999996</v>
      </c>
      <c r="K11" s="10">
        <f t="shared" si="0"/>
        <v>0.66669999999999996</v>
      </c>
      <c r="L11" s="10">
        <v>0.66669999999999996</v>
      </c>
      <c r="N11" s="10">
        <v>0.66669999999999996</v>
      </c>
      <c r="P11" s="10">
        <v>3</v>
      </c>
      <c r="Q11" s="5">
        <f t="shared" si="4"/>
        <v>1</v>
      </c>
    </row>
    <row r="12" spans="2:17" x14ac:dyDescent="0.3">
      <c r="B12" s="4" t="s">
        <v>8</v>
      </c>
      <c r="C12" s="5">
        <v>6.6666666666666693E-2</v>
      </c>
      <c r="D12" s="6">
        <v>6.7333332999999995E-2</v>
      </c>
      <c r="E12" s="6">
        <f t="shared" si="1"/>
        <v>6.667E-4</v>
      </c>
      <c r="F12" s="6">
        <v>6.667E-4</v>
      </c>
      <c r="H12" s="4" t="s">
        <v>8</v>
      </c>
      <c r="I12" s="9">
        <f t="shared" si="2"/>
        <v>66.6666666666667</v>
      </c>
      <c r="J12" s="9">
        <f t="shared" si="3"/>
        <v>67.333332999999996</v>
      </c>
      <c r="K12" s="10">
        <f t="shared" si="0"/>
        <v>0.66669999999999996</v>
      </c>
      <c r="L12" s="10">
        <v>0.66669999999999996</v>
      </c>
      <c r="N12" s="10">
        <v>0.66669999999999996</v>
      </c>
      <c r="P12" s="10">
        <v>3.1667000000000001</v>
      </c>
      <c r="Q12" s="5">
        <f t="shared" si="4"/>
        <v>2</v>
      </c>
    </row>
    <row r="13" spans="2:17" x14ac:dyDescent="0.3">
      <c r="B13" s="4" t="s">
        <v>9</v>
      </c>
      <c r="C13" s="5">
        <v>6.6666666666666693E-2</v>
      </c>
      <c r="D13" s="6">
        <v>6.7333332999999995E-2</v>
      </c>
      <c r="E13" s="6">
        <f t="shared" si="1"/>
        <v>6.667E-4</v>
      </c>
      <c r="F13" s="6">
        <v>6.667E-4</v>
      </c>
      <c r="H13" s="4" t="s">
        <v>9</v>
      </c>
      <c r="I13" s="9">
        <f t="shared" si="2"/>
        <v>66.6666666666667</v>
      </c>
      <c r="J13" s="9">
        <f t="shared" si="3"/>
        <v>67.333332999999996</v>
      </c>
      <c r="K13" s="10">
        <f t="shared" si="0"/>
        <v>0.66669999999999996</v>
      </c>
      <c r="L13" s="10">
        <v>0.66669999999999996</v>
      </c>
      <c r="N13" s="10">
        <v>0.66669999999999996</v>
      </c>
      <c r="P13" s="10">
        <v>3.3332999999999999</v>
      </c>
      <c r="Q13" s="5">
        <f t="shared" si="4"/>
        <v>2</v>
      </c>
    </row>
    <row r="14" spans="2:17" x14ac:dyDescent="0.3">
      <c r="B14" s="4" t="s">
        <v>10</v>
      </c>
      <c r="C14" s="5">
        <v>6.6666666666666693E-2</v>
      </c>
      <c r="D14" s="6">
        <v>6.7333332999999995E-2</v>
      </c>
      <c r="E14" s="6">
        <f t="shared" si="1"/>
        <v>6.667E-4</v>
      </c>
      <c r="F14" s="6">
        <v>6.667E-4</v>
      </c>
      <c r="H14" s="4" t="s">
        <v>10</v>
      </c>
      <c r="I14" s="9">
        <f t="shared" si="2"/>
        <v>66.6666666666667</v>
      </c>
      <c r="J14" s="9">
        <f t="shared" si="3"/>
        <v>67.333332999999996</v>
      </c>
      <c r="K14" s="10">
        <f t="shared" si="0"/>
        <v>0.66669999999999996</v>
      </c>
      <c r="L14" s="10">
        <v>0.66669999999999996</v>
      </c>
      <c r="N14" s="10">
        <v>0.66669999999999996</v>
      </c>
      <c r="P14" s="10">
        <v>3.5</v>
      </c>
      <c r="Q14" s="5">
        <f t="shared" si="4"/>
        <v>1</v>
      </c>
    </row>
    <row r="15" spans="2:17" x14ac:dyDescent="0.3">
      <c r="B15" s="1"/>
      <c r="C15" s="2"/>
      <c r="D15" s="2"/>
      <c r="E15" s="8"/>
      <c r="H15" s="1"/>
      <c r="I15" s="2"/>
      <c r="J15" s="2"/>
      <c r="K15" s="8"/>
      <c r="N15" s="10">
        <v>3.3332999999999999</v>
      </c>
    </row>
    <row r="16" spans="2:17" x14ac:dyDescent="0.3">
      <c r="B16" s="12" t="s">
        <v>15</v>
      </c>
      <c r="C16" s="12"/>
      <c r="D16" s="12"/>
      <c r="E16" s="12"/>
      <c r="F16" s="12"/>
      <c r="H16" s="15" t="s">
        <v>15</v>
      </c>
      <c r="I16" s="15"/>
      <c r="J16" s="15"/>
      <c r="K16" s="8"/>
      <c r="N16" s="10">
        <v>1</v>
      </c>
    </row>
    <row r="17" spans="2:17" x14ac:dyDescent="0.3">
      <c r="B17" s="3" t="s">
        <v>11</v>
      </c>
      <c r="C17" s="3" t="s">
        <v>12</v>
      </c>
      <c r="D17" s="3" t="s">
        <v>13</v>
      </c>
      <c r="E17" s="7" t="s">
        <v>20</v>
      </c>
      <c r="F17" s="7" t="s">
        <v>15</v>
      </c>
      <c r="H17" s="3"/>
      <c r="I17" s="3" t="s">
        <v>12</v>
      </c>
      <c r="J17" s="3" t="s">
        <v>13</v>
      </c>
      <c r="K17" s="7" t="s">
        <v>20</v>
      </c>
      <c r="L17" s="7" t="s">
        <v>15</v>
      </c>
      <c r="N17" s="10">
        <v>0.83330000000000004</v>
      </c>
    </row>
    <row r="18" spans="2:17" x14ac:dyDescent="0.3">
      <c r="B18" s="4" t="s">
        <v>0</v>
      </c>
      <c r="C18" s="5">
        <v>6.6666666666666693E-2</v>
      </c>
      <c r="D18" s="6">
        <v>7.0000000000000007E-2</v>
      </c>
      <c r="E18" s="6">
        <f>ROUND(D18-C18, 7)</f>
        <v>3.3333E-3</v>
      </c>
      <c r="F18" s="6">
        <v>3.3333E-3</v>
      </c>
      <c r="H18" s="4" t="s">
        <v>0</v>
      </c>
      <c r="I18" s="9">
        <f>C18*1000</f>
        <v>66.6666666666667</v>
      </c>
      <c r="J18" s="9">
        <f t="shared" ref="J18:J28" si="5">D18*1000</f>
        <v>70</v>
      </c>
      <c r="K18" s="10">
        <f t="shared" ref="K18:K28" si="6">E18*1000</f>
        <v>3.3332999999999999</v>
      </c>
      <c r="L18" s="10">
        <v>3.3332999999999999</v>
      </c>
      <c r="N18" s="10">
        <v>1.5</v>
      </c>
    </row>
    <row r="19" spans="2:17" x14ac:dyDescent="0.3">
      <c r="B19" s="4" t="s">
        <v>1</v>
      </c>
      <c r="C19" s="5">
        <v>6.6666666666666693E-2</v>
      </c>
      <c r="D19" s="6">
        <v>6.7666667E-2</v>
      </c>
      <c r="E19" s="6">
        <f t="shared" ref="E19:E28" si="7">ROUND(D19-C19, 7)</f>
        <v>1E-3</v>
      </c>
      <c r="F19" s="6">
        <v>1E-3</v>
      </c>
      <c r="H19" s="4" t="s">
        <v>1</v>
      </c>
      <c r="I19" s="9">
        <f t="shared" ref="I19:I28" si="8">C19*1000</f>
        <v>66.6666666666667</v>
      </c>
      <c r="J19" s="9">
        <f t="shared" si="5"/>
        <v>67.666667000000004</v>
      </c>
      <c r="K19" s="10">
        <f t="shared" si="6"/>
        <v>1</v>
      </c>
      <c r="L19" s="10">
        <v>1</v>
      </c>
      <c r="N19" s="10">
        <v>0.83330000000000004</v>
      </c>
    </row>
    <row r="20" spans="2:17" x14ac:dyDescent="0.3">
      <c r="B20" s="4" t="s">
        <v>2</v>
      </c>
      <c r="C20" s="5">
        <v>6.6666666666666693E-2</v>
      </c>
      <c r="D20" s="6">
        <v>6.7500000000000004E-2</v>
      </c>
      <c r="E20" s="6">
        <f t="shared" si="7"/>
        <v>8.3330000000000003E-4</v>
      </c>
      <c r="F20" s="6">
        <v>8.3330000000000003E-4</v>
      </c>
      <c r="H20" s="4" t="s">
        <v>2</v>
      </c>
      <c r="I20" s="9">
        <f t="shared" si="8"/>
        <v>66.6666666666667</v>
      </c>
      <c r="J20" s="9">
        <f t="shared" si="5"/>
        <v>67.5</v>
      </c>
      <c r="K20" s="10">
        <f t="shared" si="6"/>
        <v>0.83330000000000004</v>
      </c>
      <c r="L20" s="10">
        <v>0.83330000000000004</v>
      </c>
      <c r="N20" s="10">
        <v>0.83330000000000004</v>
      </c>
    </row>
    <row r="21" spans="2:17" x14ac:dyDescent="0.3">
      <c r="B21" s="4" t="s">
        <v>3</v>
      </c>
      <c r="C21" s="5">
        <v>6.6666666666666693E-2</v>
      </c>
      <c r="D21" s="6">
        <v>6.8166667E-2</v>
      </c>
      <c r="E21" s="6">
        <f t="shared" si="7"/>
        <v>1.5E-3</v>
      </c>
      <c r="F21" s="6">
        <v>1.5E-3</v>
      </c>
      <c r="H21" s="4" t="s">
        <v>3</v>
      </c>
      <c r="I21" s="9">
        <f t="shared" si="8"/>
        <v>66.6666666666667</v>
      </c>
      <c r="J21" s="9">
        <f t="shared" si="5"/>
        <v>68.166667000000004</v>
      </c>
      <c r="K21" s="10">
        <f t="shared" si="6"/>
        <v>1.5</v>
      </c>
      <c r="L21" s="10">
        <v>1.5</v>
      </c>
      <c r="N21" s="10">
        <v>1</v>
      </c>
    </row>
    <row r="22" spans="2:17" x14ac:dyDescent="0.3">
      <c r="B22" s="4" t="s">
        <v>4</v>
      </c>
      <c r="C22" s="5">
        <v>6.6666666666666693E-2</v>
      </c>
      <c r="D22" s="6">
        <v>6.7500000000000004E-2</v>
      </c>
      <c r="E22" s="6">
        <f t="shared" si="7"/>
        <v>8.3330000000000003E-4</v>
      </c>
      <c r="F22" s="6">
        <v>8.3330000000000003E-4</v>
      </c>
      <c r="H22" s="4" t="s">
        <v>4</v>
      </c>
      <c r="I22" s="9">
        <f t="shared" si="8"/>
        <v>66.6666666666667</v>
      </c>
      <c r="J22" s="9">
        <f t="shared" si="5"/>
        <v>67.5</v>
      </c>
      <c r="K22" s="10">
        <f t="shared" si="6"/>
        <v>0.83330000000000004</v>
      </c>
      <c r="L22" s="10">
        <v>0.83330000000000004</v>
      </c>
      <c r="N22" s="10">
        <v>0.83330000000000004</v>
      </c>
    </row>
    <row r="23" spans="2:17" x14ac:dyDescent="0.3">
      <c r="B23" s="4" t="s">
        <v>5</v>
      </c>
      <c r="C23" s="5">
        <v>6.6666666666666693E-2</v>
      </c>
      <c r="D23" s="6">
        <v>6.7500000000000004E-2</v>
      </c>
      <c r="E23" s="6">
        <f t="shared" si="7"/>
        <v>8.3330000000000003E-4</v>
      </c>
      <c r="F23" s="6">
        <v>8.3330000000000003E-4</v>
      </c>
      <c r="H23" s="4" t="s">
        <v>5</v>
      </c>
      <c r="I23" s="9">
        <f t="shared" si="8"/>
        <v>66.6666666666667</v>
      </c>
      <c r="J23" s="9">
        <f t="shared" si="5"/>
        <v>67.5</v>
      </c>
      <c r="K23" s="10">
        <f t="shared" si="6"/>
        <v>0.83330000000000004</v>
      </c>
      <c r="L23" s="10">
        <v>0.83330000000000004</v>
      </c>
      <c r="N23" s="10">
        <v>0.83330000000000004</v>
      </c>
    </row>
    <row r="24" spans="2:17" x14ac:dyDescent="0.3">
      <c r="B24" s="4" t="s">
        <v>6</v>
      </c>
      <c r="C24" s="5">
        <v>6.6666666666666693E-2</v>
      </c>
      <c r="D24" s="6">
        <v>6.7666667E-2</v>
      </c>
      <c r="E24" s="6">
        <f t="shared" si="7"/>
        <v>1E-3</v>
      </c>
      <c r="F24" s="6">
        <v>1E-3</v>
      </c>
      <c r="H24" s="4" t="s">
        <v>6</v>
      </c>
      <c r="I24" s="9">
        <f t="shared" si="8"/>
        <v>66.6666666666667</v>
      </c>
      <c r="J24" s="9">
        <f t="shared" si="5"/>
        <v>67.666667000000004</v>
      </c>
      <c r="K24" s="10">
        <f t="shared" si="6"/>
        <v>1</v>
      </c>
      <c r="L24" s="10">
        <v>1</v>
      </c>
      <c r="N24" s="10">
        <v>0.66669999999999996</v>
      </c>
    </row>
    <row r="25" spans="2:17" x14ac:dyDescent="0.3">
      <c r="B25" s="4" t="s">
        <v>7</v>
      </c>
      <c r="C25" s="5">
        <v>6.6666666666666693E-2</v>
      </c>
      <c r="D25" s="6">
        <v>6.7500000000000004E-2</v>
      </c>
      <c r="E25" s="6">
        <f t="shared" si="7"/>
        <v>8.3330000000000003E-4</v>
      </c>
      <c r="F25" s="6">
        <v>8.3330000000000003E-4</v>
      </c>
      <c r="H25" s="4" t="s">
        <v>7</v>
      </c>
      <c r="I25" s="9">
        <f t="shared" si="8"/>
        <v>66.6666666666667</v>
      </c>
      <c r="J25" s="9">
        <f t="shared" si="5"/>
        <v>67.5</v>
      </c>
      <c r="K25" s="10">
        <f t="shared" si="6"/>
        <v>0.83330000000000004</v>
      </c>
      <c r="L25" s="10">
        <v>0.83330000000000004</v>
      </c>
      <c r="N25" s="10">
        <v>0.66669999999999996</v>
      </c>
    </row>
    <row r="26" spans="2:17" x14ac:dyDescent="0.3">
      <c r="B26" s="4" t="s">
        <v>8</v>
      </c>
      <c r="C26" s="5">
        <v>6.6666666666666693E-2</v>
      </c>
      <c r="D26" s="6">
        <v>6.7500000000000004E-2</v>
      </c>
      <c r="E26" s="6">
        <f t="shared" si="7"/>
        <v>8.3330000000000003E-4</v>
      </c>
      <c r="F26" s="6">
        <v>8.3330000000000003E-4</v>
      </c>
      <c r="H26" s="4" t="s">
        <v>8</v>
      </c>
      <c r="I26" s="9">
        <f t="shared" si="8"/>
        <v>66.6666666666667</v>
      </c>
      <c r="J26" s="9">
        <f t="shared" si="5"/>
        <v>67.5</v>
      </c>
      <c r="K26" s="10">
        <f t="shared" si="6"/>
        <v>0.83330000000000004</v>
      </c>
      <c r="L26" s="10">
        <v>0.83330000000000004</v>
      </c>
      <c r="N26" s="10">
        <v>3.5</v>
      </c>
    </row>
    <row r="27" spans="2:17" x14ac:dyDescent="0.3">
      <c r="B27" s="4" t="s">
        <v>9</v>
      </c>
      <c r="C27" s="5">
        <v>6.6666666666666693E-2</v>
      </c>
      <c r="D27" s="6">
        <v>6.7333332999999995E-2</v>
      </c>
      <c r="E27" s="6">
        <f t="shared" si="7"/>
        <v>6.667E-4</v>
      </c>
      <c r="F27" s="6">
        <v>6.667E-4</v>
      </c>
      <c r="H27" s="4" t="s">
        <v>9</v>
      </c>
      <c r="I27" s="9">
        <f t="shared" si="8"/>
        <v>66.6666666666667</v>
      </c>
      <c r="J27" s="9">
        <f t="shared" si="5"/>
        <v>67.333332999999996</v>
      </c>
      <c r="K27" s="10">
        <f t="shared" si="6"/>
        <v>0.66669999999999996</v>
      </c>
      <c r="L27" s="10">
        <v>0.66669999999999996</v>
      </c>
      <c r="N27" s="10">
        <v>1.1666999999999998</v>
      </c>
    </row>
    <row r="28" spans="2:17" x14ac:dyDescent="0.3">
      <c r="B28" s="4" t="s">
        <v>10</v>
      </c>
      <c r="C28" s="5">
        <v>6.6666666666666693E-2</v>
      </c>
      <c r="D28" s="6">
        <v>6.7333332999999995E-2</v>
      </c>
      <c r="E28" s="6">
        <f t="shared" si="7"/>
        <v>6.667E-4</v>
      </c>
      <c r="F28" s="6">
        <v>6.667E-4</v>
      </c>
      <c r="H28" s="4" t="s">
        <v>10</v>
      </c>
      <c r="I28" s="9">
        <f t="shared" si="8"/>
        <v>66.6666666666667</v>
      </c>
      <c r="J28" s="9">
        <f t="shared" si="5"/>
        <v>67.333332999999996</v>
      </c>
      <c r="K28" s="10">
        <f t="shared" si="6"/>
        <v>0.66669999999999996</v>
      </c>
      <c r="L28" s="10">
        <v>0.66669999999999996</v>
      </c>
      <c r="N28" s="10">
        <v>0.83330000000000004</v>
      </c>
    </row>
    <row r="29" spans="2:17" x14ac:dyDescent="0.3">
      <c r="B29" s="2"/>
      <c r="C29" s="2"/>
      <c r="D29" s="2"/>
      <c r="E29" s="8"/>
      <c r="H29" s="2"/>
      <c r="I29" s="2"/>
      <c r="J29" s="2"/>
      <c r="K29" s="8"/>
      <c r="N29" s="10">
        <v>1.6666999999999998</v>
      </c>
    </row>
    <row r="30" spans="2:17" x14ac:dyDescent="0.3">
      <c r="B30" s="12" t="s">
        <v>16</v>
      </c>
      <c r="C30" s="12"/>
      <c r="D30" s="12"/>
      <c r="E30" s="12"/>
      <c r="F30" s="12"/>
      <c r="H30" s="15" t="s">
        <v>16</v>
      </c>
      <c r="I30" s="15"/>
      <c r="J30" s="15"/>
      <c r="K30" s="8"/>
      <c r="N30" s="10">
        <v>1</v>
      </c>
    </row>
    <row r="31" spans="2:17" x14ac:dyDescent="0.3">
      <c r="B31" s="3" t="s">
        <v>11</v>
      </c>
      <c r="C31" s="3" t="s">
        <v>12</v>
      </c>
      <c r="D31" s="3" t="s">
        <v>13</v>
      </c>
      <c r="E31" s="7" t="s">
        <v>20</v>
      </c>
      <c r="F31" s="7" t="s">
        <v>16</v>
      </c>
      <c r="H31" s="3"/>
      <c r="I31" s="3" t="s">
        <v>12</v>
      </c>
      <c r="J31" s="3" t="s">
        <v>13</v>
      </c>
      <c r="K31" s="7" t="s">
        <v>20</v>
      </c>
      <c r="L31" s="7" t="s">
        <v>16</v>
      </c>
      <c r="N31" s="10">
        <v>0.83330000000000004</v>
      </c>
    </row>
    <row r="32" spans="2:17" x14ac:dyDescent="0.3">
      <c r="B32" s="4" t="s">
        <v>0</v>
      </c>
      <c r="C32" s="5">
        <v>6.6666666666666693E-2</v>
      </c>
      <c r="D32" s="6">
        <v>7.0166667000000002E-2</v>
      </c>
      <c r="E32" s="6">
        <f>ROUND(D32-C32, 7)</f>
        <v>3.5000000000000001E-3</v>
      </c>
      <c r="F32" s="6">
        <v>3.5000000000000001E-3</v>
      </c>
      <c r="H32" s="4" t="s">
        <v>0</v>
      </c>
      <c r="I32" s="9">
        <f>C32*1000</f>
        <v>66.6666666666667</v>
      </c>
      <c r="J32" s="9">
        <f t="shared" ref="J32:J42" si="9">D32*1000</f>
        <v>70.166667000000004</v>
      </c>
      <c r="K32" s="10">
        <f t="shared" ref="K32:K42" si="10">E32*1000</f>
        <v>3.5</v>
      </c>
      <c r="L32" s="10">
        <v>3.5</v>
      </c>
      <c r="N32" s="10">
        <v>1.1666999999999998</v>
      </c>
      <c r="P32" s="11" t="s">
        <v>22</v>
      </c>
      <c r="Q32" s="11" t="s">
        <v>23</v>
      </c>
    </row>
    <row r="33" spans="2:17" x14ac:dyDescent="0.3">
      <c r="B33" s="4" t="s">
        <v>1</v>
      </c>
      <c r="C33" s="5">
        <v>6.6666666666666693E-2</v>
      </c>
      <c r="D33" s="6">
        <v>6.7833332999999996E-2</v>
      </c>
      <c r="E33" s="6">
        <f t="shared" ref="E33:E42" si="11">ROUND(D33-C33, 7)</f>
        <v>1.1666999999999999E-3</v>
      </c>
      <c r="F33" s="6">
        <v>1.1666999999999999E-3</v>
      </c>
      <c r="H33" s="4" t="s">
        <v>1</v>
      </c>
      <c r="I33" s="9">
        <f t="shared" ref="I33:I42" si="12">C33*1000</f>
        <v>66.6666666666667</v>
      </c>
      <c r="J33" s="9">
        <f t="shared" si="9"/>
        <v>67.833332999999996</v>
      </c>
      <c r="K33" s="10">
        <f t="shared" si="10"/>
        <v>1.1666999999999998</v>
      </c>
      <c r="L33" s="10">
        <v>1.1666999999999998</v>
      </c>
      <c r="N33" s="10">
        <v>0.83330000000000004</v>
      </c>
      <c r="P33" s="5" t="s">
        <v>14</v>
      </c>
      <c r="Q33" s="10">
        <f>AVERAGE(K4:K14)</f>
        <v>1.0000090909090911</v>
      </c>
    </row>
    <row r="34" spans="2:17" x14ac:dyDescent="0.3">
      <c r="B34" s="4" t="s">
        <v>2</v>
      </c>
      <c r="C34" s="5">
        <v>6.6666666666666693E-2</v>
      </c>
      <c r="D34" s="6">
        <v>6.7500000000000004E-2</v>
      </c>
      <c r="E34" s="6">
        <f t="shared" si="11"/>
        <v>8.3330000000000003E-4</v>
      </c>
      <c r="F34" s="6">
        <v>8.3330000000000003E-4</v>
      </c>
      <c r="H34" s="4" t="s">
        <v>2</v>
      </c>
      <c r="I34" s="9">
        <f t="shared" si="12"/>
        <v>66.6666666666667</v>
      </c>
      <c r="J34" s="9">
        <f t="shared" si="9"/>
        <v>67.5</v>
      </c>
      <c r="K34" s="10">
        <f t="shared" si="10"/>
        <v>0.83330000000000004</v>
      </c>
      <c r="L34" s="10">
        <v>0.83330000000000004</v>
      </c>
      <c r="N34" s="10">
        <v>0.83330000000000004</v>
      </c>
      <c r="P34" s="5" t="s">
        <v>15</v>
      </c>
      <c r="Q34" s="10">
        <f>AVERAGE(K18:K28)</f>
        <v>1.1212</v>
      </c>
    </row>
    <row r="35" spans="2:17" x14ac:dyDescent="0.3">
      <c r="B35" s="4" t="s">
        <v>3</v>
      </c>
      <c r="C35" s="5">
        <v>6.6666666666666693E-2</v>
      </c>
      <c r="D35" s="6">
        <v>6.8333332999999996E-2</v>
      </c>
      <c r="E35" s="6">
        <f t="shared" si="11"/>
        <v>1.6666999999999999E-3</v>
      </c>
      <c r="F35" s="6">
        <v>1.6666999999999999E-3</v>
      </c>
      <c r="H35" s="4" t="s">
        <v>3</v>
      </c>
      <c r="I35" s="9">
        <f t="shared" si="12"/>
        <v>66.6666666666667</v>
      </c>
      <c r="J35" s="9">
        <f t="shared" si="9"/>
        <v>68.333332999999996</v>
      </c>
      <c r="K35" s="10">
        <f t="shared" si="10"/>
        <v>1.6666999999999998</v>
      </c>
      <c r="L35" s="10">
        <v>1.6666999999999998</v>
      </c>
      <c r="N35" s="10">
        <v>0.83330000000000004</v>
      </c>
      <c r="P35" s="5" t="s">
        <v>16</v>
      </c>
      <c r="Q35" s="10">
        <f>AVERAGE(K32:K42)</f>
        <v>1.227263636363636</v>
      </c>
    </row>
    <row r="36" spans="2:17" x14ac:dyDescent="0.3">
      <c r="B36" s="4" t="s">
        <v>4</v>
      </c>
      <c r="C36" s="5">
        <v>6.6666666666666693E-2</v>
      </c>
      <c r="D36" s="6">
        <v>6.7666667E-2</v>
      </c>
      <c r="E36" s="6">
        <f t="shared" si="11"/>
        <v>1E-3</v>
      </c>
      <c r="F36" s="6">
        <v>1E-3</v>
      </c>
      <c r="H36" s="4" t="s">
        <v>4</v>
      </c>
      <c r="I36" s="9">
        <f t="shared" si="12"/>
        <v>66.6666666666667</v>
      </c>
      <c r="J36" s="9">
        <f t="shared" si="9"/>
        <v>67.666667000000004</v>
      </c>
      <c r="K36" s="10">
        <f t="shared" si="10"/>
        <v>1</v>
      </c>
      <c r="L36" s="10">
        <v>1</v>
      </c>
      <c r="N36" s="10">
        <v>0.83330000000000004</v>
      </c>
      <c r="P36" s="5" t="s">
        <v>17</v>
      </c>
      <c r="Q36" s="10">
        <f>AVERAGE(K46:K56)</f>
        <v>1.0303181818181821</v>
      </c>
    </row>
    <row r="37" spans="2:17" x14ac:dyDescent="0.3">
      <c r="B37" s="4" t="s">
        <v>5</v>
      </c>
      <c r="C37" s="5">
        <v>6.6666666666666693E-2</v>
      </c>
      <c r="D37" s="6">
        <v>6.7500000000000004E-2</v>
      </c>
      <c r="E37" s="6">
        <f t="shared" si="11"/>
        <v>8.3330000000000003E-4</v>
      </c>
      <c r="F37" s="6">
        <v>8.3330000000000003E-4</v>
      </c>
      <c r="H37" s="4" t="s">
        <v>5</v>
      </c>
      <c r="I37" s="9">
        <f t="shared" si="12"/>
        <v>66.6666666666667</v>
      </c>
      <c r="J37" s="9">
        <f t="shared" si="9"/>
        <v>67.5</v>
      </c>
      <c r="K37" s="10">
        <f t="shared" si="10"/>
        <v>0.83330000000000004</v>
      </c>
      <c r="L37" s="10">
        <v>0.83330000000000004</v>
      </c>
      <c r="N37" s="10">
        <v>3.1667000000000001</v>
      </c>
      <c r="P37" s="5" t="s">
        <v>18</v>
      </c>
      <c r="Q37" s="10">
        <f>AVERAGE(K60:K70)</f>
        <v>0.98485454545454554</v>
      </c>
    </row>
    <row r="38" spans="2:17" x14ac:dyDescent="0.3">
      <c r="B38" s="4" t="s">
        <v>6</v>
      </c>
      <c r="C38" s="5">
        <v>6.6666666666666693E-2</v>
      </c>
      <c r="D38" s="6">
        <v>6.7833332999999996E-2</v>
      </c>
      <c r="E38" s="6">
        <f t="shared" si="11"/>
        <v>1.1666999999999999E-3</v>
      </c>
      <c r="F38" s="6">
        <v>1.1666999999999999E-3</v>
      </c>
      <c r="H38" s="4" t="s">
        <v>6</v>
      </c>
      <c r="I38" s="9">
        <f t="shared" si="12"/>
        <v>66.6666666666667</v>
      </c>
      <c r="J38" s="9">
        <f t="shared" si="9"/>
        <v>67.833332999999996</v>
      </c>
      <c r="K38" s="10">
        <f t="shared" si="10"/>
        <v>1.1666999999999998</v>
      </c>
      <c r="L38" s="10">
        <v>1.1666999999999998</v>
      </c>
      <c r="N38" s="10">
        <v>1</v>
      </c>
      <c r="P38" s="5" t="s">
        <v>19</v>
      </c>
      <c r="Q38" s="10">
        <f>AVERAGE(K74:K84)</f>
        <v>1.1666454545454543</v>
      </c>
    </row>
    <row r="39" spans="2:17" x14ac:dyDescent="0.3">
      <c r="B39" s="4" t="s">
        <v>7</v>
      </c>
      <c r="C39" s="5">
        <v>6.6666666666666693E-2</v>
      </c>
      <c r="D39" s="6">
        <v>6.7500000000000004E-2</v>
      </c>
      <c r="E39" s="6">
        <f t="shared" si="11"/>
        <v>8.3330000000000003E-4</v>
      </c>
      <c r="F39" s="6">
        <v>8.3330000000000003E-4</v>
      </c>
      <c r="H39" s="4" t="s">
        <v>7</v>
      </c>
      <c r="I39" s="9">
        <f t="shared" si="12"/>
        <v>66.6666666666667</v>
      </c>
      <c r="J39" s="9">
        <f t="shared" si="9"/>
        <v>67.5</v>
      </c>
      <c r="K39" s="10">
        <f t="shared" si="10"/>
        <v>0.83330000000000004</v>
      </c>
      <c r="L39" s="10">
        <v>0.83330000000000004</v>
      </c>
      <c r="N39" s="10">
        <v>0.66669999999999996</v>
      </c>
    </row>
    <row r="40" spans="2:17" x14ac:dyDescent="0.3">
      <c r="B40" s="4" t="s">
        <v>8</v>
      </c>
      <c r="C40" s="5">
        <v>6.6666666666666693E-2</v>
      </c>
      <c r="D40" s="6">
        <v>6.7500000000000004E-2</v>
      </c>
      <c r="E40" s="6">
        <f t="shared" si="11"/>
        <v>8.3330000000000003E-4</v>
      </c>
      <c r="F40" s="6">
        <v>8.3330000000000003E-4</v>
      </c>
      <c r="H40" s="4" t="s">
        <v>8</v>
      </c>
      <c r="I40" s="9">
        <f t="shared" si="12"/>
        <v>66.6666666666667</v>
      </c>
      <c r="J40" s="9">
        <f t="shared" si="9"/>
        <v>67.5</v>
      </c>
      <c r="K40" s="10">
        <f t="shared" si="10"/>
        <v>0.83330000000000004</v>
      </c>
      <c r="L40" s="10">
        <v>0.83330000000000004</v>
      </c>
      <c r="N40" s="10">
        <v>1.3332999999999999</v>
      </c>
    </row>
    <row r="41" spans="2:17" x14ac:dyDescent="0.3">
      <c r="B41" s="4" t="s">
        <v>9</v>
      </c>
      <c r="C41" s="5">
        <v>6.6666666666666693E-2</v>
      </c>
      <c r="D41" s="6">
        <v>6.7500000000000004E-2</v>
      </c>
      <c r="E41" s="6">
        <f t="shared" si="11"/>
        <v>8.3330000000000003E-4</v>
      </c>
      <c r="F41" s="6">
        <v>8.3330000000000003E-4</v>
      </c>
      <c r="H41" s="4" t="s">
        <v>9</v>
      </c>
      <c r="I41" s="9">
        <f t="shared" si="12"/>
        <v>66.6666666666667</v>
      </c>
      <c r="J41" s="9">
        <f t="shared" si="9"/>
        <v>67.5</v>
      </c>
      <c r="K41" s="10">
        <f t="shared" si="10"/>
        <v>0.83330000000000004</v>
      </c>
      <c r="L41" s="10">
        <v>0.83330000000000004</v>
      </c>
      <c r="N41" s="10">
        <v>0.83330000000000004</v>
      </c>
    </row>
    <row r="42" spans="2:17" x14ac:dyDescent="0.3">
      <c r="B42" s="4" t="s">
        <v>10</v>
      </c>
      <c r="C42" s="5">
        <v>6.6666666666666693E-2</v>
      </c>
      <c r="D42" s="6">
        <v>6.7500000000000004E-2</v>
      </c>
      <c r="E42" s="6">
        <f t="shared" si="11"/>
        <v>8.3330000000000003E-4</v>
      </c>
      <c r="F42" s="6">
        <v>8.3330000000000003E-4</v>
      </c>
      <c r="H42" s="4" t="s">
        <v>10</v>
      </c>
      <c r="I42" s="9">
        <f t="shared" si="12"/>
        <v>66.6666666666667</v>
      </c>
      <c r="J42" s="9">
        <f t="shared" si="9"/>
        <v>67.5</v>
      </c>
      <c r="K42" s="10">
        <f t="shared" si="10"/>
        <v>0.83330000000000004</v>
      </c>
      <c r="L42" s="10">
        <v>0.83330000000000004</v>
      </c>
      <c r="N42" s="10">
        <v>0.66669999999999996</v>
      </c>
    </row>
    <row r="43" spans="2:17" x14ac:dyDescent="0.3">
      <c r="B43" s="1"/>
      <c r="C43" s="2"/>
      <c r="D43" s="2"/>
      <c r="E43" s="8"/>
      <c r="H43" s="1"/>
      <c r="I43" s="2"/>
      <c r="J43" s="2"/>
      <c r="K43" s="8"/>
      <c r="N43" s="10">
        <v>1</v>
      </c>
    </row>
    <row r="44" spans="2:17" x14ac:dyDescent="0.3">
      <c r="B44" s="12" t="s">
        <v>17</v>
      </c>
      <c r="C44" s="12"/>
      <c r="D44" s="12"/>
      <c r="E44" s="12"/>
      <c r="F44" s="12"/>
      <c r="H44" s="15" t="s">
        <v>17</v>
      </c>
      <c r="I44" s="15"/>
      <c r="J44" s="15"/>
      <c r="K44" s="8"/>
      <c r="N44" s="10">
        <v>0.66669999999999996</v>
      </c>
    </row>
    <row r="45" spans="2:17" x14ac:dyDescent="0.3">
      <c r="B45" s="3" t="s">
        <v>11</v>
      </c>
      <c r="C45" s="3" t="s">
        <v>12</v>
      </c>
      <c r="D45" s="3" t="s">
        <v>13</v>
      </c>
      <c r="E45" s="7" t="s">
        <v>20</v>
      </c>
      <c r="F45" s="7" t="s">
        <v>17</v>
      </c>
      <c r="H45" s="3"/>
      <c r="I45" s="3" t="s">
        <v>12</v>
      </c>
      <c r="J45" s="3" t="s">
        <v>13</v>
      </c>
      <c r="K45" s="7" t="s">
        <v>20</v>
      </c>
      <c r="L45" s="7" t="s">
        <v>17</v>
      </c>
      <c r="N45" s="10">
        <v>0.66669999999999996</v>
      </c>
    </row>
    <row r="46" spans="2:17" x14ac:dyDescent="0.3">
      <c r="B46" s="4" t="s">
        <v>0</v>
      </c>
      <c r="C46" s="5">
        <v>6.6666666666666693E-2</v>
      </c>
      <c r="D46" s="6">
        <v>6.9833332999999997E-2</v>
      </c>
      <c r="E46" s="6">
        <f>ROUND(D46-C46, 7)</f>
        <v>3.1667000000000002E-3</v>
      </c>
      <c r="F46" s="6">
        <v>3.1667000000000002E-3</v>
      </c>
      <c r="H46" s="4" t="s">
        <v>0</v>
      </c>
      <c r="I46" s="9">
        <f>C46*1000</f>
        <v>66.6666666666667</v>
      </c>
      <c r="J46" s="9">
        <f t="shared" ref="J46:J56" si="13">D46*1000</f>
        <v>69.833332999999996</v>
      </c>
      <c r="K46" s="10">
        <f t="shared" ref="K46:K56" si="14">E46*1000</f>
        <v>3.1667000000000001</v>
      </c>
      <c r="L46" s="10">
        <v>3.1667000000000001</v>
      </c>
      <c r="N46" s="10">
        <v>0.66669999999999996</v>
      </c>
    </row>
    <row r="47" spans="2:17" x14ac:dyDescent="0.3">
      <c r="B47" s="4" t="s">
        <v>1</v>
      </c>
      <c r="C47" s="5">
        <v>6.6666666666666693E-2</v>
      </c>
      <c r="D47" s="6">
        <v>6.7666667E-2</v>
      </c>
      <c r="E47" s="6">
        <f t="shared" ref="E47:E56" si="15">ROUND(D47-C47, 7)</f>
        <v>1E-3</v>
      </c>
      <c r="F47" s="6">
        <v>1E-3</v>
      </c>
      <c r="H47" s="4" t="s">
        <v>1</v>
      </c>
      <c r="I47" s="9">
        <f t="shared" ref="I47:I56" si="16">C47*1000</f>
        <v>66.6666666666667</v>
      </c>
      <c r="J47" s="9">
        <f t="shared" si="13"/>
        <v>67.666667000000004</v>
      </c>
      <c r="K47" s="10">
        <f t="shared" si="14"/>
        <v>1</v>
      </c>
      <c r="L47" s="10">
        <v>1</v>
      </c>
      <c r="N47" s="10">
        <v>0.66669999999999996</v>
      </c>
    </row>
    <row r="48" spans="2:17" x14ac:dyDescent="0.3">
      <c r="B48" s="4" t="s">
        <v>2</v>
      </c>
      <c r="C48" s="5">
        <v>6.6666666666666693E-2</v>
      </c>
      <c r="D48" s="6">
        <v>6.7333332999999995E-2</v>
      </c>
      <c r="E48" s="6">
        <f t="shared" si="15"/>
        <v>6.667E-4</v>
      </c>
      <c r="F48" s="6">
        <v>6.667E-4</v>
      </c>
      <c r="H48" s="4" t="s">
        <v>2</v>
      </c>
      <c r="I48" s="9">
        <f t="shared" si="16"/>
        <v>66.6666666666667</v>
      </c>
      <c r="J48" s="9">
        <f t="shared" si="13"/>
        <v>67.333332999999996</v>
      </c>
      <c r="K48" s="10">
        <f t="shared" si="14"/>
        <v>0.66669999999999996</v>
      </c>
      <c r="L48" s="10">
        <v>0.66669999999999996</v>
      </c>
      <c r="N48" s="10">
        <v>3</v>
      </c>
    </row>
    <row r="49" spans="2:28" x14ac:dyDescent="0.3">
      <c r="B49" s="4" t="s">
        <v>3</v>
      </c>
      <c r="C49" s="5">
        <v>6.6666666666666693E-2</v>
      </c>
      <c r="D49" s="6">
        <v>6.8000000000000005E-2</v>
      </c>
      <c r="E49" s="6">
        <f t="shared" si="15"/>
        <v>1.3332999999999999E-3</v>
      </c>
      <c r="F49" s="6">
        <v>1.3332999999999999E-3</v>
      </c>
      <c r="H49" s="4" t="s">
        <v>3</v>
      </c>
      <c r="I49" s="9">
        <f t="shared" si="16"/>
        <v>66.6666666666667</v>
      </c>
      <c r="J49" s="9">
        <f t="shared" si="13"/>
        <v>68</v>
      </c>
      <c r="K49" s="10">
        <f t="shared" si="14"/>
        <v>1.3332999999999999</v>
      </c>
      <c r="L49" s="10">
        <v>1.3332999999999999</v>
      </c>
      <c r="N49" s="10">
        <v>0.83330000000000004</v>
      </c>
    </row>
    <row r="50" spans="2:28" x14ac:dyDescent="0.3">
      <c r="B50" s="4" t="s">
        <v>4</v>
      </c>
      <c r="C50" s="5">
        <v>6.6666666666666693E-2</v>
      </c>
      <c r="D50" s="6">
        <v>6.7500000000000004E-2</v>
      </c>
      <c r="E50" s="6">
        <f t="shared" si="15"/>
        <v>8.3330000000000003E-4</v>
      </c>
      <c r="F50" s="6">
        <v>8.3330000000000003E-4</v>
      </c>
      <c r="H50" s="4" t="s">
        <v>4</v>
      </c>
      <c r="I50" s="9">
        <f t="shared" si="16"/>
        <v>66.6666666666667</v>
      </c>
      <c r="J50" s="9">
        <f t="shared" si="13"/>
        <v>67.5</v>
      </c>
      <c r="K50" s="10">
        <f t="shared" si="14"/>
        <v>0.83330000000000004</v>
      </c>
      <c r="L50" s="10">
        <v>0.83330000000000004</v>
      </c>
      <c r="N50" s="10">
        <v>0.66669999999999996</v>
      </c>
    </row>
    <row r="51" spans="2:28" x14ac:dyDescent="0.3">
      <c r="B51" s="4" t="s">
        <v>5</v>
      </c>
      <c r="C51" s="5">
        <v>6.6666666666666693E-2</v>
      </c>
      <c r="D51" s="6">
        <v>6.7333332999999995E-2</v>
      </c>
      <c r="E51" s="6">
        <f t="shared" si="15"/>
        <v>6.667E-4</v>
      </c>
      <c r="F51" s="6">
        <v>6.667E-4</v>
      </c>
      <c r="H51" s="4" t="s">
        <v>5</v>
      </c>
      <c r="I51" s="9">
        <f t="shared" si="16"/>
        <v>66.6666666666667</v>
      </c>
      <c r="J51" s="9">
        <f t="shared" si="13"/>
        <v>67.333332999999996</v>
      </c>
      <c r="K51" s="10">
        <f t="shared" si="14"/>
        <v>0.66669999999999996</v>
      </c>
      <c r="L51" s="10">
        <v>0.66669999999999996</v>
      </c>
      <c r="N51" s="10">
        <v>1.3332999999999999</v>
      </c>
    </row>
    <row r="52" spans="2:28" x14ac:dyDescent="0.3">
      <c r="B52" s="4" t="s">
        <v>6</v>
      </c>
      <c r="C52" s="5">
        <v>6.6666666666666693E-2</v>
      </c>
      <c r="D52" s="6">
        <v>6.7666667E-2</v>
      </c>
      <c r="E52" s="6">
        <f t="shared" si="15"/>
        <v>1E-3</v>
      </c>
      <c r="F52" s="6">
        <v>1E-3</v>
      </c>
      <c r="H52" s="4" t="s">
        <v>6</v>
      </c>
      <c r="I52" s="9">
        <f t="shared" si="16"/>
        <v>66.6666666666667</v>
      </c>
      <c r="J52" s="9">
        <f t="shared" si="13"/>
        <v>67.666667000000004</v>
      </c>
      <c r="K52" s="10">
        <f t="shared" si="14"/>
        <v>1</v>
      </c>
      <c r="L52" s="10">
        <v>1</v>
      </c>
      <c r="N52" s="10">
        <v>0.83330000000000004</v>
      </c>
    </row>
    <row r="53" spans="2:28" x14ac:dyDescent="0.3">
      <c r="B53" s="4" t="s">
        <v>7</v>
      </c>
      <c r="C53" s="5">
        <v>6.6666666666666693E-2</v>
      </c>
      <c r="D53" s="6">
        <v>6.7333332999999995E-2</v>
      </c>
      <c r="E53" s="6">
        <f t="shared" si="15"/>
        <v>6.667E-4</v>
      </c>
      <c r="F53" s="6">
        <v>6.667E-4</v>
      </c>
      <c r="H53" s="4" t="s">
        <v>7</v>
      </c>
      <c r="I53" s="9">
        <f t="shared" si="16"/>
        <v>66.6666666666667</v>
      </c>
      <c r="J53" s="9">
        <f t="shared" si="13"/>
        <v>67.333332999999996</v>
      </c>
      <c r="K53" s="10">
        <f t="shared" si="14"/>
        <v>0.66669999999999996</v>
      </c>
      <c r="L53" s="10">
        <v>0.66669999999999996</v>
      </c>
      <c r="N53" s="10">
        <v>0.66669999999999996</v>
      </c>
    </row>
    <row r="54" spans="2:28" x14ac:dyDescent="0.3">
      <c r="B54" s="4" t="s">
        <v>8</v>
      </c>
      <c r="C54" s="5">
        <v>6.6666666666666693E-2</v>
      </c>
      <c r="D54" s="6">
        <v>6.7333332999999995E-2</v>
      </c>
      <c r="E54" s="6">
        <f t="shared" si="15"/>
        <v>6.667E-4</v>
      </c>
      <c r="F54" s="6">
        <v>6.667E-4</v>
      </c>
      <c r="H54" s="4" t="s">
        <v>8</v>
      </c>
      <c r="I54" s="9">
        <f t="shared" si="16"/>
        <v>66.6666666666667</v>
      </c>
      <c r="J54" s="9">
        <f t="shared" si="13"/>
        <v>67.333332999999996</v>
      </c>
      <c r="K54" s="10">
        <f t="shared" si="14"/>
        <v>0.66669999999999996</v>
      </c>
      <c r="L54" s="10">
        <v>0.66669999999999996</v>
      </c>
      <c r="N54" s="10">
        <v>0.83330000000000004</v>
      </c>
    </row>
    <row r="55" spans="2:28" x14ac:dyDescent="0.3">
      <c r="B55" s="4" t="s">
        <v>9</v>
      </c>
      <c r="C55" s="5">
        <v>6.6666666666666693E-2</v>
      </c>
      <c r="D55" s="6">
        <v>6.7333332999999995E-2</v>
      </c>
      <c r="E55" s="6">
        <f t="shared" si="15"/>
        <v>6.667E-4</v>
      </c>
      <c r="F55" s="6">
        <v>6.667E-4</v>
      </c>
      <c r="H55" s="4" t="s">
        <v>9</v>
      </c>
      <c r="I55" s="9">
        <f t="shared" si="16"/>
        <v>66.6666666666667</v>
      </c>
      <c r="J55" s="9">
        <f t="shared" si="13"/>
        <v>67.333332999999996</v>
      </c>
      <c r="K55" s="10">
        <f t="shared" si="14"/>
        <v>0.66669999999999996</v>
      </c>
      <c r="L55" s="10">
        <v>0.66669999999999996</v>
      </c>
      <c r="N55" s="10">
        <v>0.66669999999999996</v>
      </c>
    </row>
    <row r="56" spans="2:28" x14ac:dyDescent="0.3">
      <c r="B56" s="4" t="s">
        <v>10</v>
      </c>
      <c r="C56" s="5">
        <v>6.6666666666666693E-2</v>
      </c>
      <c r="D56" s="6">
        <v>6.7333332999999995E-2</v>
      </c>
      <c r="E56" s="6">
        <f t="shared" si="15"/>
        <v>6.667E-4</v>
      </c>
      <c r="F56" s="6">
        <v>6.667E-4</v>
      </c>
      <c r="H56" s="4" t="s">
        <v>10</v>
      </c>
      <c r="I56" s="9">
        <f t="shared" si="16"/>
        <v>66.6666666666667</v>
      </c>
      <c r="J56" s="9">
        <f t="shared" si="13"/>
        <v>67.333332999999996</v>
      </c>
      <c r="K56" s="10">
        <f t="shared" si="14"/>
        <v>0.66669999999999996</v>
      </c>
      <c r="L56" s="10">
        <v>0.66669999999999996</v>
      </c>
      <c r="N56" s="10">
        <v>0.66669999999999996</v>
      </c>
      <c r="Q56" s="4" t="s">
        <v>22</v>
      </c>
      <c r="R56" s="4" t="s">
        <v>0</v>
      </c>
      <c r="S56" s="4" t="s">
        <v>1</v>
      </c>
      <c r="T56" s="4" t="s">
        <v>2</v>
      </c>
      <c r="U56" s="4" t="s">
        <v>3</v>
      </c>
      <c r="V56" s="4" t="s">
        <v>4</v>
      </c>
      <c r="W56" s="4" t="s">
        <v>5</v>
      </c>
      <c r="X56" s="4" t="s">
        <v>6</v>
      </c>
      <c r="Y56" s="4" t="s">
        <v>7</v>
      </c>
      <c r="Z56" s="4" t="s">
        <v>8</v>
      </c>
      <c r="AA56" s="4" t="s">
        <v>9</v>
      </c>
      <c r="AB56" s="4" t="s">
        <v>10</v>
      </c>
    </row>
    <row r="57" spans="2:28" x14ac:dyDescent="0.3">
      <c r="B57" s="1"/>
      <c r="C57" s="2"/>
      <c r="D57" s="2"/>
      <c r="E57" s="8"/>
      <c r="H57" s="1"/>
      <c r="I57" s="2"/>
      <c r="J57" s="2"/>
      <c r="K57" s="8"/>
      <c r="N57" s="10">
        <v>0.66669999999999996</v>
      </c>
      <c r="Q57" s="5" t="s">
        <v>14</v>
      </c>
      <c r="R57" s="10">
        <v>3.1667000000000001</v>
      </c>
      <c r="S57" s="10">
        <v>0.83330000000000004</v>
      </c>
      <c r="T57" s="10">
        <v>0.66669999999999996</v>
      </c>
      <c r="U57" s="10">
        <v>1.3332999999999999</v>
      </c>
      <c r="V57" s="10">
        <v>0.83330000000000004</v>
      </c>
      <c r="W57" s="10">
        <v>0.66669999999999996</v>
      </c>
      <c r="X57" s="10">
        <v>0.83330000000000004</v>
      </c>
      <c r="Y57" s="10">
        <v>0.66669999999999996</v>
      </c>
      <c r="Z57" s="10">
        <v>0.66669999999999996</v>
      </c>
      <c r="AA57" s="10">
        <v>0.66669999999999996</v>
      </c>
      <c r="AB57" s="10">
        <v>0.66669999999999996</v>
      </c>
    </row>
    <row r="58" spans="2:28" x14ac:dyDescent="0.3">
      <c r="B58" s="12" t="s">
        <v>18</v>
      </c>
      <c r="C58" s="12"/>
      <c r="D58" s="12"/>
      <c r="E58" s="12"/>
      <c r="F58" s="12"/>
      <c r="H58" s="15" t="s">
        <v>18</v>
      </c>
      <c r="I58" s="15"/>
      <c r="J58" s="15"/>
      <c r="K58" s="8"/>
      <c r="N58" s="10">
        <v>0.66669999999999996</v>
      </c>
      <c r="Q58" s="5" t="s">
        <v>15</v>
      </c>
      <c r="R58" s="10">
        <v>3.3332999999999999</v>
      </c>
      <c r="S58" s="10">
        <v>1</v>
      </c>
      <c r="T58" s="10">
        <v>0.83330000000000004</v>
      </c>
      <c r="U58" s="10">
        <v>1.5</v>
      </c>
      <c r="V58" s="10">
        <v>0.83330000000000004</v>
      </c>
      <c r="W58" s="10">
        <v>0.83330000000000004</v>
      </c>
      <c r="X58" s="10">
        <v>1</v>
      </c>
      <c r="Y58" s="10">
        <v>0.83330000000000004</v>
      </c>
      <c r="Z58" s="10">
        <v>0.83330000000000004</v>
      </c>
      <c r="AA58" s="10">
        <v>0.66669999999999996</v>
      </c>
      <c r="AB58" s="10">
        <v>0.66669999999999996</v>
      </c>
    </row>
    <row r="59" spans="2:28" x14ac:dyDescent="0.3">
      <c r="B59" s="3" t="s">
        <v>11</v>
      </c>
      <c r="C59" s="3" t="s">
        <v>12</v>
      </c>
      <c r="D59" s="3" t="s">
        <v>13</v>
      </c>
      <c r="E59" s="7" t="s">
        <v>20</v>
      </c>
      <c r="F59" s="7" t="s">
        <v>18</v>
      </c>
      <c r="H59" s="3"/>
      <c r="I59" s="3" t="s">
        <v>12</v>
      </c>
      <c r="J59" s="3" t="s">
        <v>13</v>
      </c>
      <c r="K59" s="7" t="s">
        <v>20</v>
      </c>
      <c r="L59" s="7" t="s">
        <v>18</v>
      </c>
      <c r="N59" s="10">
        <v>3.3332999999999999</v>
      </c>
      <c r="Q59" s="5" t="s">
        <v>16</v>
      </c>
      <c r="R59" s="10">
        <v>3.5</v>
      </c>
      <c r="S59" s="10">
        <v>1.1666999999999998</v>
      </c>
      <c r="T59" s="10">
        <v>0.83330000000000004</v>
      </c>
      <c r="U59" s="10">
        <v>1.6666999999999998</v>
      </c>
      <c r="V59" s="10">
        <v>1</v>
      </c>
      <c r="W59" s="10">
        <v>0.83330000000000004</v>
      </c>
      <c r="X59" s="10">
        <v>1.1666999999999998</v>
      </c>
      <c r="Y59" s="10">
        <v>0.83330000000000004</v>
      </c>
      <c r="Z59" s="10">
        <v>0.83330000000000004</v>
      </c>
      <c r="AA59" s="10">
        <v>0.83330000000000004</v>
      </c>
      <c r="AB59" s="10">
        <v>0.83330000000000004</v>
      </c>
    </row>
    <row r="60" spans="2:28" x14ac:dyDescent="0.3">
      <c r="B60" s="4" t="s">
        <v>0</v>
      </c>
      <c r="C60" s="5">
        <v>6.6666666666666693E-2</v>
      </c>
      <c r="D60" s="6">
        <v>6.9666667000000002E-2</v>
      </c>
      <c r="E60" s="6">
        <f>ROUND(D60-C60, 7)</f>
        <v>3.0000000000000001E-3</v>
      </c>
      <c r="F60" s="6">
        <v>3.0000000000000001E-3</v>
      </c>
      <c r="H60" s="4" t="s">
        <v>0</v>
      </c>
      <c r="I60" s="9">
        <f>C60*1000</f>
        <v>66.6666666666667</v>
      </c>
      <c r="J60" s="9">
        <f t="shared" ref="J60:J70" si="17">D60*1000</f>
        <v>69.666667000000004</v>
      </c>
      <c r="K60" s="10">
        <f t="shared" ref="K60:K70" si="18">E60*1000</f>
        <v>3</v>
      </c>
      <c r="L60" s="10">
        <v>3</v>
      </c>
      <c r="N60" s="10">
        <v>1</v>
      </c>
      <c r="Q60" s="5" t="s">
        <v>17</v>
      </c>
      <c r="R60" s="10">
        <v>3.1667000000000001</v>
      </c>
      <c r="S60" s="10">
        <v>1</v>
      </c>
      <c r="T60" s="10">
        <v>0.66669999999999996</v>
      </c>
      <c r="U60" s="10">
        <v>1.3332999999999999</v>
      </c>
      <c r="V60" s="10">
        <v>0.83330000000000004</v>
      </c>
      <c r="W60" s="10">
        <v>0.66669999999999996</v>
      </c>
      <c r="X60" s="10">
        <v>1</v>
      </c>
      <c r="Y60" s="10">
        <v>0.66669999999999996</v>
      </c>
      <c r="Z60" s="10">
        <v>0.66669999999999996</v>
      </c>
      <c r="AA60" s="10">
        <v>0.66669999999999996</v>
      </c>
      <c r="AB60" s="10">
        <v>0.66669999999999996</v>
      </c>
    </row>
    <row r="61" spans="2:28" x14ac:dyDescent="0.3">
      <c r="B61" s="4" t="s">
        <v>1</v>
      </c>
      <c r="C61" s="5">
        <v>6.6666666666666693E-2</v>
      </c>
      <c r="D61" s="6">
        <v>6.7500000000000004E-2</v>
      </c>
      <c r="E61" s="6">
        <f t="shared" ref="E61:E70" si="19">ROUND(D61-C61, 7)</f>
        <v>8.3330000000000003E-4</v>
      </c>
      <c r="F61" s="6">
        <v>8.3330000000000003E-4</v>
      </c>
      <c r="H61" s="4" t="s">
        <v>1</v>
      </c>
      <c r="I61" s="9">
        <f t="shared" ref="I61:I70" si="20">C61*1000</f>
        <v>66.6666666666667</v>
      </c>
      <c r="J61" s="9">
        <f t="shared" si="17"/>
        <v>67.5</v>
      </c>
      <c r="K61" s="10">
        <f t="shared" si="18"/>
        <v>0.83330000000000004</v>
      </c>
      <c r="L61" s="10">
        <v>0.83330000000000004</v>
      </c>
      <c r="N61" s="10">
        <v>0.83330000000000004</v>
      </c>
      <c r="Q61" s="5" t="s">
        <v>18</v>
      </c>
      <c r="R61" s="10">
        <v>3</v>
      </c>
      <c r="S61" s="10">
        <v>0.83330000000000004</v>
      </c>
      <c r="T61" s="10">
        <v>0.66669999999999996</v>
      </c>
      <c r="U61" s="10">
        <v>1.3332999999999999</v>
      </c>
      <c r="V61" s="10">
        <v>0.83330000000000004</v>
      </c>
      <c r="W61" s="10">
        <v>0.66669999999999996</v>
      </c>
      <c r="X61" s="10">
        <v>0.83330000000000004</v>
      </c>
      <c r="Y61" s="10">
        <v>0.66669999999999996</v>
      </c>
      <c r="Z61" s="10">
        <v>0.66669999999999996</v>
      </c>
      <c r="AA61" s="10">
        <v>0.66669999999999996</v>
      </c>
      <c r="AB61" s="10">
        <v>0.66669999999999996</v>
      </c>
    </row>
    <row r="62" spans="2:28" x14ac:dyDescent="0.3">
      <c r="B62" s="4" t="s">
        <v>2</v>
      </c>
      <c r="C62" s="5">
        <v>6.6666666666666693E-2</v>
      </c>
      <c r="D62" s="6">
        <v>6.7333332999999995E-2</v>
      </c>
      <c r="E62" s="6">
        <f t="shared" si="19"/>
        <v>6.667E-4</v>
      </c>
      <c r="F62" s="6">
        <v>6.667E-4</v>
      </c>
      <c r="H62" s="4" t="s">
        <v>2</v>
      </c>
      <c r="I62" s="9">
        <f t="shared" si="20"/>
        <v>66.6666666666667</v>
      </c>
      <c r="J62" s="9">
        <f t="shared" si="17"/>
        <v>67.333332999999996</v>
      </c>
      <c r="K62" s="10">
        <f t="shared" si="18"/>
        <v>0.66669999999999996</v>
      </c>
      <c r="L62" s="10">
        <v>0.66669999999999996</v>
      </c>
      <c r="N62" s="10">
        <v>1.5</v>
      </c>
      <c r="Q62" s="5" t="s">
        <v>19</v>
      </c>
      <c r="R62" s="10">
        <v>3.3332999999999999</v>
      </c>
      <c r="S62" s="10">
        <v>1</v>
      </c>
      <c r="T62" s="10">
        <v>0.83330000000000004</v>
      </c>
      <c r="U62" s="10">
        <v>1.5</v>
      </c>
      <c r="V62" s="10">
        <v>1</v>
      </c>
      <c r="W62" s="10">
        <v>0.83330000000000004</v>
      </c>
      <c r="X62" s="10">
        <v>1</v>
      </c>
      <c r="Y62" s="10">
        <v>0.83330000000000004</v>
      </c>
      <c r="Z62" s="10">
        <v>0.83330000000000004</v>
      </c>
      <c r="AA62" s="10">
        <v>0.83330000000000004</v>
      </c>
      <c r="AB62" s="10">
        <v>0.83330000000000004</v>
      </c>
    </row>
    <row r="63" spans="2:28" x14ac:dyDescent="0.3">
      <c r="B63" s="4" t="s">
        <v>3</v>
      </c>
      <c r="C63" s="5">
        <v>6.6666666666666693E-2</v>
      </c>
      <c r="D63" s="5">
        <v>6.8000000000000005E-2</v>
      </c>
      <c r="E63" s="6">
        <f t="shared" si="19"/>
        <v>1.3332999999999999E-3</v>
      </c>
      <c r="F63" s="6">
        <v>1.3332999999999999E-3</v>
      </c>
      <c r="H63" s="4" t="s">
        <v>3</v>
      </c>
      <c r="I63" s="9">
        <f t="shared" si="20"/>
        <v>66.6666666666667</v>
      </c>
      <c r="J63" s="9">
        <f t="shared" si="17"/>
        <v>68</v>
      </c>
      <c r="K63" s="10">
        <f t="shared" si="18"/>
        <v>1.3332999999999999</v>
      </c>
      <c r="L63" s="10">
        <v>1.3332999999999999</v>
      </c>
      <c r="N63" s="10">
        <v>1</v>
      </c>
    </row>
    <row r="64" spans="2:28" x14ac:dyDescent="0.3">
      <c r="B64" s="4" t="s">
        <v>4</v>
      </c>
      <c r="C64" s="5">
        <v>6.6666666666666693E-2</v>
      </c>
      <c r="D64" s="6">
        <v>6.7500000000000004E-2</v>
      </c>
      <c r="E64" s="6">
        <f t="shared" si="19"/>
        <v>8.3330000000000003E-4</v>
      </c>
      <c r="F64" s="6">
        <v>8.3330000000000003E-4</v>
      </c>
      <c r="H64" s="4" t="s">
        <v>4</v>
      </c>
      <c r="I64" s="9">
        <f t="shared" si="20"/>
        <v>66.6666666666667</v>
      </c>
      <c r="J64" s="9">
        <f t="shared" si="17"/>
        <v>67.5</v>
      </c>
      <c r="K64" s="10">
        <f t="shared" si="18"/>
        <v>0.83330000000000004</v>
      </c>
      <c r="L64" s="10">
        <v>0.83330000000000004</v>
      </c>
      <c r="N64" s="10">
        <v>0.83330000000000004</v>
      </c>
    </row>
    <row r="65" spans="2:16" x14ac:dyDescent="0.3">
      <c r="B65" s="4" t="s">
        <v>5</v>
      </c>
      <c r="C65" s="5">
        <v>6.6666666666666693E-2</v>
      </c>
      <c r="D65" s="6">
        <v>6.7333332999999995E-2</v>
      </c>
      <c r="E65" s="6">
        <f t="shared" si="19"/>
        <v>6.667E-4</v>
      </c>
      <c r="F65" s="6">
        <v>6.667E-4</v>
      </c>
      <c r="H65" s="4" t="s">
        <v>5</v>
      </c>
      <c r="I65" s="9">
        <f t="shared" si="20"/>
        <v>66.6666666666667</v>
      </c>
      <c r="J65" s="9">
        <f t="shared" si="17"/>
        <v>67.333332999999996</v>
      </c>
      <c r="K65" s="10">
        <f t="shared" si="18"/>
        <v>0.66669999999999996</v>
      </c>
      <c r="L65" s="10">
        <v>0.66669999999999996</v>
      </c>
      <c r="N65" s="10">
        <v>1</v>
      </c>
    </row>
    <row r="66" spans="2:16" x14ac:dyDescent="0.3">
      <c r="B66" s="4" t="s">
        <v>6</v>
      </c>
      <c r="C66" s="5">
        <v>6.6666666666666693E-2</v>
      </c>
      <c r="D66" s="6">
        <v>6.7500000000000004E-2</v>
      </c>
      <c r="E66" s="6">
        <f t="shared" si="19"/>
        <v>8.3330000000000003E-4</v>
      </c>
      <c r="F66" s="6">
        <v>8.3330000000000003E-4</v>
      </c>
      <c r="H66" s="4" t="s">
        <v>6</v>
      </c>
      <c r="I66" s="9">
        <f t="shared" si="20"/>
        <v>66.6666666666667</v>
      </c>
      <c r="J66" s="9">
        <f t="shared" si="17"/>
        <v>67.5</v>
      </c>
      <c r="K66" s="10">
        <f t="shared" si="18"/>
        <v>0.83330000000000004</v>
      </c>
      <c r="L66" s="10">
        <v>0.83330000000000004</v>
      </c>
      <c r="N66" s="10">
        <v>0.83330000000000004</v>
      </c>
    </row>
    <row r="67" spans="2:16" x14ac:dyDescent="0.3">
      <c r="B67" s="4" t="s">
        <v>7</v>
      </c>
      <c r="C67" s="5">
        <v>6.6666666666666693E-2</v>
      </c>
      <c r="D67" s="6">
        <v>6.7333332999999995E-2</v>
      </c>
      <c r="E67" s="6">
        <f t="shared" si="19"/>
        <v>6.667E-4</v>
      </c>
      <c r="F67" s="6">
        <v>6.667E-4</v>
      </c>
      <c r="H67" s="4" t="s">
        <v>7</v>
      </c>
      <c r="I67" s="9">
        <f t="shared" si="20"/>
        <v>66.6666666666667</v>
      </c>
      <c r="J67" s="9">
        <f t="shared" si="17"/>
        <v>67.333332999999996</v>
      </c>
      <c r="K67" s="10">
        <f t="shared" si="18"/>
        <v>0.66669999999999996</v>
      </c>
      <c r="L67" s="10">
        <v>0.66669999999999996</v>
      </c>
      <c r="N67" s="10">
        <v>0.83330000000000004</v>
      </c>
    </row>
    <row r="68" spans="2:16" x14ac:dyDescent="0.3">
      <c r="B68" s="4" t="s">
        <v>8</v>
      </c>
      <c r="C68" s="5">
        <v>6.6666666666666693E-2</v>
      </c>
      <c r="D68" s="6">
        <v>6.7333332999999995E-2</v>
      </c>
      <c r="E68" s="6">
        <f t="shared" si="19"/>
        <v>6.667E-4</v>
      </c>
      <c r="F68" s="6">
        <v>6.667E-4</v>
      </c>
      <c r="H68" s="4" t="s">
        <v>8</v>
      </c>
      <c r="I68" s="9">
        <f t="shared" si="20"/>
        <v>66.6666666666667</v>
      </c>
      <c r="J68" s="9">
        <f t="shared" si="17"/>
        <v>67.333332999999996</v>
      </c>
      <c r="K68" s="10">
        <f t="shared" si="18"/>
        <v>0.66669999999999996</v>
      </c>
      <c r="L68" s="10">
        <v>0.66669999999999996</v>
      </c>
      <c r="N68" s="10">
        <v>0.83330000000000004</v>
      </c>
      <c r="P68" s="16">
        <f>AVERAGE(N4:N69)</f>
        <v>1.0883818181818177</v>
      </c>
    </row>
    <row r="69" spans="2:16" x14ac:dyDescent="0.3">
      <c r="B69" s="4" t="s">
        <v>9</v>
      </c>
      <c r="C69" s="5">
        <v>6.6666666666666693E-2</v>
      </c>
      <c r="D69">
        <v>6.7333333333333301E-2</v>
      </c>
      <c r="E69" s="6">
        <f t="shared" si="19"/>
        <v>6.667E-4</v>
      </c>
      <c r="F69" s="6">
        <v>6.667E-4</v>
      </c>
      <c r="H69" s="4" t="s">
        <v>9</v>
      </c>
      <c r="I69" s="9">
        <f t="shared" si="20"/>
        <v>66.6666666666667</v>
      </c>
      <c r="J69" s="9">
        <f t="shared" si="17"/>
        <v>67.3333333333333</v>
      </c>
      <c r="K69" s="10">
        <f t="shared" si="18"/>
        <v>0.66669999999999996</v>
      </c>
      <c r="L69" s="10">
        <v>0.66669999999999996</v>
      </c>
      <c r="N69" s="10">
        <v>0.83330000000000004</v>
      </c>
    </row>
    <row r="70" spans="2:16" x14ac:dyDescent="0.3">
      <c r="B70" s="4" t="s">
        <v>10</v>
      </c>
      <c r="C70" s="5">
        <v>6.6666666666666693E-2</v>
      </c>
      <c r="D70" s="6">
        <v>6.7333332999999995E-2</v>
      </c>
      <c r="E70" s="6">
        <f t="shared" si="19"/>
        <v>6.667E-4</v>
      </c>
      <c r="F70" s="6">
        <v>6.667E-4</v>
      </c>
      <c r="H70" s="4" t="s">
        <v>10</v>
      </c>
      <c r="I70" s="9">
        <f t="shared" si="20"/>
        <v>66.6666666666667</v>
      </c>
      <c r="J70" s="9">
        <f t="shared" si="17"/>
        <v>67.333332999999996</v>
      </c>
      <c r="K70" s="10">
        <f t="shared" si="18"/>
        <v>0.66669999999999996</v>
      </c>
      <c r="L70" s="10">
        <v>0.66669999999999996</v>
      </c>
    </row>
    <row r="71" spans="2:16" x14ac:dyDescent="0.3">
      <c r="B71" s="1"/>
      <c r="C71" s="2"/>
      <c r="D71" s="2"/>
      <c r="E71" s="8"/>
      <c r="H71" s="1"/>
      <c r="I71" s="2"/>
      <c r="J71" s="2"/>
      <c r="K71" s="8"/>
    </row>
    <row r="72" spans="2:16" x14ac:dyDescent="0.3">
      <c r="B72" s="13" t="s">
        <v>19</v>
      </c>
      <c r="C72" s="13"/>
      <c r="D72" s="13"/>
      <c r="E72" s="13"/>
      <c r="F72" s="13"/>
      <c r="H72" s="14" t="s">
        <v>19</v>
      </c>
      <c r="I72" s="14"/>
      <c r="J72" s="14"/>
      <c r="K72" s="8"/>
    </row>
    <row r="73" spans="2:16" x14ac:dyDescent="0.3">
      <c r="B73" s="3" t="s">
        <v>11</v>
      </c>
      <c r="C73" s="3" t="s">
        <v>12</v>
      </c>
      <c r="D73" s="3" t="s">
        <v>13</v>
      </c>
      <c r="E73" s="7" t="s">
        <v>20</v>
      </c>
      <c r="F73" s="7" t="s">
        <v>19</v>
      </c>
      <c r="H73" s="3"/>
      <c r="I73" s="3" t="s">
        <v>12</v>
      </c>
      <c r="J73" s="3" t="s">
        <v>13</v>
      </c>
      <c r="K73" s="7" t="s">
        <v>20</v>
      </c>
      <c r="L73" s="7" t="s">
        <v>19</v>
      </c>
    </row>
    <row r="74" spans="2:16" x14ac:dyDescent="0.3">
      <c r="B74" s="4" t="s">
        <v>0</v>
      </c>
      <c r="C74" s="5">
        <v>6.6666666666666693E-2</v>
      </c>
      <c r="D74" s="6">
        <v>7.0000000000000007E-2</v>
      </c>
      <c r="E74" s="6">
        <f>ROUND(D74-C74, 7)</f>
        <v>3.3333E-3</v>
      </c>
      <c r="F74" s="6">
        <v>3.3333E-3</v>
      </c>
      <c r="H74" s="4" t="s">
        <v>0</v>
      </c>
      <c r="I74" s="9">
        <f>C74*1000</f>
        <v>66.6666666666667</v>
      </c>
      <c r="J74" s="9">
        <f t="shared" ref="J74:J84" si="21">D74*1000</f>
        <v>70</v>
      </c>
      <c r="K74" s="10">
        <f t="shared" ref="K74:K84" si="22">E74*1000</f>
        <v>3.3332999999999999</v>
      </c>
      <c r="L74" s="10">
        <v>3.3332999999999999</v>
      </c>
    </row>
    <row r="75" spans="2:16" x14ac:dyDescent="0.3">
      <c r="B75" s="4" t="s">
        <v>1</v>
      </c>
      <c r="C75" s="5">
        <v>6.6666666666666693E-2</v>
      </c>
      <c r="D75" s="6">
        <v>6.7666667E-2</v>
      </c>
      <c r="E75" s="6">
        <f t="shared" ref="E75:E84" si="23">ROUND(D75-C75, 7)</f>
        <v>1E-3</v>
      </c>
      <c r="F75" s="6">
        <v>1E-3</v>
      </c>
      <c r="H75" s="4" t="s">
        <v>1</v>
      </c>
      <c r="I75" s="9">
        <f t="shared" ref="I75:I84" si="24">C75*1000</f>
        <v>66.6666666666667</v>
      </c>
      <c r="J75" s="9">
        <f t="shared" si="21"/>
        <v>67.666667000000004</v>
      </c>
      <c r="K75" s="10">
        <f t="shared" si="22"/>
        <v>1</v>
      </c>
      <c r="L75" s="10">
        <v>1</v>
      </c>
    </row>
    <row r="76" spans="2:16" x14ac:dyDescent="0.3">
      <c r="B76" s="4" t="s">
        <v>2</v>
      </c>
      <c r="C76" s="5">
        <v>6.6666666666666693E-2</v>
      </c>
      <c r="D76" s="6">
        <v>6.7500000000000004E-2</v>
      </c>
      <c r="E76" s="6">
        <f t="shared" si="23"/>
        <v>8.3330000000000003E-4</v>
      </c>
      <c r="F76" s="6">
        <v>8.3330000000000003E-4</v>
      </c>
      <c r="H76" s="4" t="s">
        <v>2</v>
      </c>
      <c r="I76" s="9">
        <f t="shared" si="24"/>
        <v>66.6666666666667</v>
      </c>
      <c r="J76" s="9">
        <f t="shared" si="21"/>
        <v>67.5</v>
      </c>
      <c r="K76" s="10">
        <f t="shared" si="22"/>
        <v>0.83330000000000004</v>
      </c>
      <c r="L76" s="10">
        <v>0.83330000000000004</v>
      </c>
    </row>
    <row r="77" spans="2:16" x14ac:dyDescent="0.3">
      <c r="B77" s="4" t="s">
        <v>3</v>
      </c>
      <c r="C77" s="5">
        <v>6.6666666666666693E-2</v>
      </c>
      <c r="D77" s="6">
        <v>6.8166667E-2</v>
      </c>
      <c r="E77" s="6">
        <f t="shared" si="23"/>
        <v>1.5E-3</v>
      </c>
      <c r="F77" s="6">
        <v>1.5E-3</v>
      </c>
      <c r="H77" s="4" t="s">
        <v>3</v>
      </c>
      <c r="I77" s="9">
        <f t="shared" si="24"/>
        <v>66.6666666666667</v>
      </c>
      <c r="J77" s="9">
        <f t="shared" si="21"/>
        <v>68.166667000000004</v>
      </c>
      <c r="K77" s="10">
        <f t="shared" si="22"/>
        <v>1.5</v>
      </c>
      <c r="L77" s="10">
        <v>1.5</v>
      </c>
    </row>
    <row r="78" spans="2:16" x14ac:dyDescent="0.3">
      <c r="B78" s="4" t="s">
        <v>4</v>
      </c>
      <c r="C78" s="5">
        <v>6.6666666666666693E-2</v>
      </c>
      <c r="D78" s="6">
        <v>6.7666667E-2</v>
      </c>
      <c r="E78" s="6">
        <f t="shared" si="23"/>
        <v>1E-3</v>
      </c>
      <c r="F78" s="6">
        <v>1E-3</v>
      </c>
      <c r="H78" s="4" t="s">
        <v>4</v>
      </c>
      <c r="I78" s="9">
        <f t="shared" si="24"/>
        <v>66.6666666666667</v>
      </c>
      <c r="J78" s="9">
        <f t="shared" si="21"/>
        <v>67.666667000000004</v>
      </c>
      <c r="K78" s="10">
        <f t="shared" si="22"/>
        <v>1</v>
      </c>
      <c r="L78" s="10">
        <v>1</v>
      </c>
    </row>
    <row r="79" spans="2:16" x14ac:dyDescent="0.3">
      <c r="B79" s="4" t="s">
        <v>5</v>
      </c>
      <c r="C79" s="5">
        <v>6.6666666666666693E-2</v>
      </c>
      <c r="D79" s="6">
        <v>6.7500000000000004E-2</v>
      </c>
      <c r="E79" s="6">
        <f t="shared" si="23"/>
        <v>8.3330000000000003E-4</v>
      </c>
      <c r="F79" s="6">
        <v>8.3330000000000003E-4</v>
      </c>
      <c r="H79" s="4" t="s">
        <v>5</v>
      </c>
      <c r="I79" s="9">
        <f t="shared" si="24"/>
        <v>66.6666666666667</v>
      </c>
      <c r="J79" s="9">
        <f t="shared" si="21"/>
        <v>67.5</v>
      </c>
      <c r="K79" s="10">
        <f t="shared" si="22"/>
        <v>0.83330000000000004</v>
      </c>
      <c r="L79" s="10">
        <v>0.83330000000000004</v>
      </c>
    </row>
    <row r="80" spans="2:16" x14ac:dyDescent="0.3">
      <c r="B80" s="4" t="s">
        <v>6</v>
      </c>
      <c r="C80" s="5">
        <v>6.6666666666666693E-2</v>
      </c>
      <c r="D80" s="6">
        <v>6.7666667E-2</v>
      </c>
      <c r="E80" s="6">
        <f t="shared" si="23"/>
        <v>1E-3</v>
      </c>
      <c r="F80" s="6">
        <v>1E-3</v>
      </c>
      <c r="H80" s="4" t="s">
        <v>6</v>
      </c>
      <c r="I80" s="9">
        <f t="shared" si="24"/>
        <v>66.6666666666667</v>
      </c>
      <c r="J80" s="9">
        <f t="shared" si="21"/>
        <v>67.666667000000004</v>
      </c>
      <c r="K80" s="10">
        <f t="shared" si="22"/>
        <v>1</v>
      </c>
      <c r="L80" s="10">
        <v>1</v>
      </c>
    </row>
    <row r="81" spans="2:12" x14ac:dyDescent="0.3">
      <c r="B81" s="4" t="s">
        <v>7</v>
      </c>
      <c r="C81" s="5">
        <v>6.6666666666666693E-2</v>
      </c>
      <c r="D81" s="6">
        <v>6.7500000000000004E-2</v>
      </c>
      <c r="E81" s="6">
        <f t="shared" si="23"/>
        <v>8.3330000000000003E-4</v>
      </c>
      <c r="F81" s="6">
        <v>8.3330000000000003E-4</v>
      </c>
      <c r="H81" s="4" t="s">
        <v>7</v>
      </c>
      <c r="I81" s="9">
        <f t="shared" si="24"/>
        <v>66.6666666666667</v>
      </c>
      <c r="J81" s="9">
        <f t="shared" si="21"/>
        <v>67.5</v>
      </c>
      <c r="K81" s="10">
        <f t="shared" si="22"/>
        <v>0.83330000000000004</v>
      </c>
      <c r="L81" s="10">
        <v>0.83330000000000004</v>
      </c>
    </row>
    <row r="82" spans="2:12" x14ac:dyDescent="0.3">
      <c r="B82" s="4" t="s">
        <v>8</v>
      </c>
      <c r="C82" s="5">
        <v>6.6666666666666693E-2</v>
      </c>
      <c r="D82" s="6">
        <v>6.7500000000000004E-2</v>
      </c>
      <c r="E82" s="6">
        <f t="shared" si="23"/>
        <v>8.3330000000000003E-4</v>
      </c>
      <c r="F82" s="6">
        <v>8.3330000000000003E-4</v>
      </c>
      <c r="H82" s="4" t="s">
        <v>8</v>
      </c>
      <c r="I82" s="9">
        <f t="shared" si="24"/>
        <v>66.6666666666667</v>
      </c>
      <c r="J82" s="9">
        <f t="shared" si="21"/>
        <v>67.5</v>
      </c>
      <c r="K82" s="10">
        <f t="shared" si="22"/>
        <v>0.83330000000000004</v>
      </c>
      <c r="L82" s="10">
        <v>0.83330000000000004</v>
      </c>
    </row>
    <row r="83" spans="2:12" x14ac:dyDescent="0.3">
      <c r="B83" s="4" t="s">
        <v>9</v>
      </c>
      <c r="C83" s="5">
        <v>6.6666666666666693E-2</v>
      </c>
      <c r="D83" s="6">
        <v>6.7500000000000004E-2</v>
      </c>
      <c r="E83" s="6">
        <f t="shared" si="23"/>
        <v>8.3330000000000003E-4</v>
      </c>
      <c r="F83" s="6">
        <v>8.3330000000000003E-4</v>
      </c>
      <c r="H83" s="4" t="s">
        <v>9</v>
      </c>
      <c r="I83" s="9">
        <f t="shared" si="24"/>
        <v>66.6666666666667</v>
      </c>
      <c r="J83" s="9">
        <f t="shared" si="21"/>
        <v>67.5</v>
      </c>
      <c r="K83" s="10">
        <f t="shared" si="22"/>
        <v>0.83330000000000004</v>
      </c>
      <c r="L83" s="10">
        <v>0.83330000000000004</v>
      </c>
    </row>
    <row r="84" spans="2:12" x14ac:dyDescent="0.3">
      <c r="B84" s="4" t="s">
        <v>10</v>
      </c>
      <c r="C84" s="5">
        <v>6.6666666666666693E-2</v>
      </c>
      <c r="D84" s="6">
        <v>6.7500000000000004E-2</v>
      </c>
      <c r="E84" s="6">
        <f t="shared" si="23"/>
        <v>8.3330000000000003E-4</v>
      </c>
      <c r="F84" s="6">
        <v>8.3330000000000003E-4</v>
      </c>
      <c r="H84" s="4" t="s">
        <v>10</v>
      </c>
      <c r="I84" s="9">
        <f t="shared" si="24"/>
        <v>66.6666666666667</v>
      </c>
      <c r="J84" s="9">
        <f t="shared" si="21"/>
        <v>67.5</v>
      </c>
      <c r="K84" s="10">
        <f t="shared" si="22"/>
        <v>0.83330000000000004</v>
      </c>
      <c r="L84" s="10">
        <v>0.83330000000000004</v>
      </c>
    </row>
  </sheetData>
  <sortState xmlns:xlrd2="http://schemas.microsoft.com/office/spreadsheetml/2017/richdata2" ref="P4:P14">
    <sortCondition ref="P4"/>
  </sortState>
  <mergeCells count="12">
    <mergeCell ref="B72:F72"/>
    <mergeCell ref="H72:J72"/>
    <mergeCell ref="H2:J2"/>
    <mergeCell ref="H16:J16"/>
    <mergeCell ref="H30:J30"/>
    <mergeCell ref="H44:J44"/>
    <mergeCell ref="H58:J58"/>
    <mergeCell ref="B2:F2"/>
    <mergeCell ref="B16:F16"/>
    <mergeCell ref="B30:F30"/>
    <mergeCell ref="B44:F44"/>
    <mergeCell ref="B58:F58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2024-08-12T16:31:25Z</cp:lastPrinted>
  <dcterms:created xsi:type="dcterms:W3CDTF">2024-08-10T20:10:09Z</dcterms:created>
  <dcterms:modified xsi:type="dcterms:W3CDTF">2024-08-12T18:33:22Z</dcterms:modified>
</cp:coreProperties>
</file>